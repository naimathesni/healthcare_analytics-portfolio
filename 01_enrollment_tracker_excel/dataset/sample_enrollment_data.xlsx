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240" yWindow="110" windowWidth="14810" windowHeight="8010" firstSheet="2" activeTab="2"/>
  </bookViews>
  <sheets>
    <sheet name="raw_enrollment_data" sheetId="1" r:id="rId1"/>
    <sheet name="working_clean_data" sheetId="4" r:id="rId2"/>
    <sheet name="data_quality_checks" sheetId="5" r:id="rId3"/>
    <sheet name="summary_metrics" sheetId="6" r:id="rId4"/>
    <sheet name="pivot_analysis" sheetId="7" r:id="rId5"/>
    <sheet name="dashboard" sheetId="8" r:id="rId6"/>
    <sheet name="KPI Definitions" sheetId="2" r:id="rId7"/>
    <sheet name="insights_notes" sheetId="10" r:id="rId8"/>
  </sheets>
  <definedNames>
    <definedName name="_xlnm._FilterDatabase" localSheetId="1" hidden="1">working_clean_data!$A$1:$Y$251</definedName>
    <definedName name="_xlnm.Print_Area" localSheetId="5">dashboard!$A$1:$Q$56</definedName>
  </definedNames>
  <calcPr calcId="152511"/>
  <pivotCaches>
    <pivotCache cacheId="0" r:id="rId9"/>
  </pivotCaches>
</workbook>
</file>

<file path=xl/calcChain.xml><?xml version="1.0" encoding="utf-8"?>
<calcChain xmlns="http://schemas.openxmlformats.org/spreadsheetml/2006/main">
  <c r="P8" i="8" l="1"/>
  <c r="N8" i="8"/>
  <c r="L8" i="8"/>
  <c r="I8" i="8"/>
  <c r="G8" i="8"/>
  <c r="E8" i="8"/>
  <c r="C8" i="8"/>
  <c r="A8" i="8"/>
  <c r="B4" i="6"/>
  <c r="C13" i="5" l="1"/>
  <c r="D13" i="5" s="1"/>
  <c r="AF3" i="4"/>
  <c r="AF4" i="4"/>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AF142" i="4"/>
  <c r="AF143" i="4"/>
  <c r="AF144" i="4"/>
  <c r="AF145" i="4"/>
  <c r="AF146" i="4"/>
  <c r="AF147" i="4"/>
  <c r="AF148" i="4"/>
  <c r="AF149" i="4"/>
  <c r="AF150" i="4"/>
  <c r="AF151" i="4"/>
  <c r="AF152" i="4"/>
  <c r="AF153" i="4"/>
  <c r="AF154" i="4"/>
  <c r="AF155" i="4"/>
  <c r="AF156" i="4"/>
  <c r="AF157" i="4"/>
  <c r="AF158" i="4"/>
  <c r="AF159" i="4"/>
  <c r="AF160" i="4"/>
  <c r="AF161" i="4"/>
  <c r="AF162" i="4"/>
  <c r="AF163" i="4"/>
  <c r="AF164" i="4"/>
  <c r="AF165" i="4"/>
  <c r="AF166" i="4"/>
  <c r="AF167" i="4"/>
  <c r="AF168" i="4"/>
  <c r="AF169" i="4"/>
  <c r="AF170" i="4"/>
  <c r="AF171" i="4"/>
  <c r="AF172" i="4"/>
  <c r="AF173" i="4"/>
  <c r="AF174" i="4"/>
  <c r="AF175" i="4"/>
  <c r="AF176" i="4"/>
  <c r="AF177" i="4"/>
  <c r="AF178" i="4"/>
  <c r="AF179" i="4"/>
  <c r="AF180" i="4"/>
  <c r="AF181" i="4"/>
  <c r="AF182" i="4"/>
  <c r="AF183" i="4"/>
  <c r="AF184" i="4"/>
  <c r="AF185" i="4"/>
  <c r="AF186" i="4"/>
  <c r="AF187" i="4"/>
  <c r="AF188" i="4"/>
  <c r="AF189" i="4"/>
  <c r="AF190" i="4"/>
  <c r="AF191" i="4"/>
  <c r="AF192" i="4"/>
  <c r="AF193" i="4"/>
  <c r="AF194" i="4"/>
  <c r="AF195" i="4"/>
  <c r="AF196" i="4"/>
  <c r="AF197" i="4"/>
  <c r="AF198" i="4"/>
  <c r="AF199" i="4"/>
  <c r="AF200" i="4"/>
  <c r="AF201" i="4"/>
  <c r="AF202" i="4"/>
  <c r="AF203" i="4"/>
  <c r="AF204" i="4"/>
  <c r="AF205" i="4"/>
  <c r="AF206" i="4"/>
  <c r="AF207" i="4"/>
  <c r="AF208" i="4"/>
  <c r="AF209" i="4"/>
  <c r="AF210" i="4"/>
  <c r="AF211" i="4"/>
  <c r="AF212" i="4"/>
  <c r="AF213" i="4"/>
  <c r="AF214" i="4"/>
  <c r="AF215" i="4"/>
  <c r="AF216" i="4"/>
  <c r="AF217" i="4"/>
  <c r="AF218" i="4"/>
  <c r="AF219" i="4"/>
  <c r="AF220" i="4"/>
  <c r="AF221" i="4"/>
  <c r="AF222" i="4"/>
  <c r="AF223" i="4"/>
  <c r="AF224" i="4"/>
  <c r="AF225" i="4"/>
  <c r="AF226" i="4"/>
  <c r="AF227" i="4"/>
  <c r="AF228" i="4"/>
  <c r="AF229" i="4"/>
  <c r="AF230" i="4"/>
  <c r="AF231" i="4"/>
  <c r="AF232" i="4"/>
  <c r="AF233" i="4"/>
  <c r="AF234" i="4"/>
  <c r="AF235" i="4"/>
  <c r="AF236" i="4"/>
  <c r="AF237" i="4"/>
  <c r="AF238" i="4"/>
  <c r="AF239" i="4"/>
  <c r="AF240" i="4"/>
  <c r="AF241" i="4"/>
  <c r="AF242" i="4"/>
  <c r="AF243" i="4"/>
  <c r="AF244" i="4"/>
  <c r="AF245" i="4"/>
  <c r="AF246" i="4"/>
  <c r="AF247" i="4"/>
  <c r="AF248" i="4"/>
  <c r="AF249" i="4"/>
  <c r="AF250" i="4"/>
  <c r="AF251" i="4"/>
  <c r="AF2" i="4"/>
  <c r="AL1" i="4"/>
  <c r="Z27" i="4"/>
  <c r="AA27" i="4" s="1"/>
  <c r="Z28" i="4"/>
  <c r="Z29" i="4"/>
  <c r="AA29" i="4" s="1"/>
  <c r="Z30" i="4"/>
  <c r="AA30" i="4" s="1"/>
  <c r="Z31" i="4"/>
  <c r="AA31" i="4" s="1"/>
  <c r="Z32" i="4"/>
  <c r="AA32" i="4" s="1"/>
  <c r="Z33" i="4"/>
  <c r="Z34" i="4"/>
  <c r="AA34" i="4" s="1"/>
  <c r="Z35" i="4"/>
  <c r="AA35" i="4" s="1"/>
  <c r="Z36" i="4"/>
  <c r="AA36" i="4" s="1"/>
  <c r="Z37" i="4"/>
  <c r="Z38" i="4"/>
  <c r="AA38" i="4" s="1"/>
  <c r="Z39" i="4"/>
  <c r="AA39" i="4" s="1"/>
  <c r="Z40" i="4"/>
  <c r="Z41" i="4"/>
  <c r="Z42" i="4"/>
  <c r="AA42" i="4" s="1"/>
  <c r="Z43" i="4"/>
  <c r="Z44" i="4"/>
  <c r="AA44" i="4" s="1"/>
  <c r="Z45" i="4"/>
  <c r="AA45" i="4" s="1"/>
  <c r="Z46" i="4"/>
  <c r="AA46" i="4" s="1"/>
  <c r="Z47" i="4"/>
  <c r="AA47" i="4" s="1"/>
  <c r="Z48" i="4"/>
  <c r="Z49" i="4"/>
  <c r="AA49" i="4" s="1"/>
  <c r="Z50" i="4"/>
  <c r="Z51" i="4"/>
  <c r="AA51" i="4" s="1"/>
  <c r="Z52" i="4"/>
  <c r="Z53" i="4"/>
  <c r="Z54" i="4"/>
  <c r="Z55" i="4"/>
  <c r="AA55" i="4" s="1"/>
  <c r="Z56" i="4"/>
  <c r="AA56" i="4" s="1"/>
  <c r="Z57" i="4"/>
  <c r="AA57" i="4" s="1"/>
  <c r="Z58" i="4"/>
  <c r="AA58" i="4" s="1"/>
  <c r="Z59" i="4"/>
  <c r="AA59" i="4" s="1"/>
  <c r="Z60" i="4"/>
  <c r="AA60" i="4" s="1"/>
  <c r="Z61" i="4"/>
  <c r="Z62" i="4"/>
  <c r="AA62" i="4" s="1"/>
  <c r="Z63" i="4"/>
  <c r="AA63" i="4" s="1"/>
  <c r="Z64" i="4"/>
  <c r="AA64" i="4" s="1"/>
  <c r="Z65" i="4"/>
  <c r="Z66" i="4"/>
  <c r="AA66" i="4" s="1"/>
  <c r="Z67" i="4"/>
  <c r="AA67" i="4" s="1"/>
  <c r="Z68" i="4"/>
  <c r="AA68" i="4" s="1"/>
  <c r="Z69" i="4"/>
  <c r="AA69" i="4" s="1"/>
  <c r="Z70" i="4"/>
  <c r="AA70" i="4" s="1"/>
  <c r="Z71" i="4"/>
  <c r="AA71" i="4" s="1"/>
  <c r="Z72" i="4"/>
  <c r="AA72" i="4" s="1"/>
  <c r="Z73" i="4"/>
  <c r="AA73" i="4" s="1"/>
  <c r="Z74" i="4"/>
  <c r="Z75" i="4"/>
  <c r="AA75" i="4" s="1"/>
  <c r="Z76" i="4"/>
  <c r="Z77" i="4"/>
  <c r="Z78" i="4"/>
  <c r="AA78" i="4" s="1"/>
  <c r="Z79" i="4"/>
  <c r="Z80" i="4"/>
  <c r="AA80" i="4" s="1"/>
  <c r="Z81" i="4"/>
  <c r="Z82" i="4"/>
  <c r="AA82" i="4" s="1"/>
  <c r="Z83" i="4"/>
  <c r="AA83" i="4" s="1"/>
  <c r="Z84" i="4"/>
  <c r="AA84" i="4" s="1"/>
  <c r="Z85" i="4"/>
  <c r="AA85" i="4" s="1"/>
  <c r="Z86" i="4"/>
  <c r="AA86" i="4" s="1"/>
  <c r="Z87" i="4"/>
  <c r="AA87" i="4" s="1"/>
  <c r="Z88" i="4"/>
  <c r="AA88" i="4" s="1"/>
  <c r="Z89" i="4"/>
  <c r="AA89" i="4" s="1"/>
  <c r="Z90" i="4"/>
  <c r="AA90" i="4" s="1"/>
  <c r="Z91" i="4"/>
  <c r="AA91" i="4" s="1"/>
  <c r="Z92" i="4"/>
  <c r="Z93" i="4"/>
  <c r="AA93" i="4" s="1"/>
  <c r="Z94" i="4"/>
  <c r="AA94" i="4" s="1"/>
  <c r="Z95" i="4"/>
  <c r="AA95" i="4" s="1"/>
  <c r="Z96" i="4"/>
  <c r="AA96" i="4" s="1"/>
  <c r="Z97" i="4"/>
  <c r="AA97" i="4" s="1"/>
  <c r="Z98" i="4"/>
  <c r="AA98" i="4" s="1"/>
  <c r="Z99" i="4"/>
  <c r="AA99" i="4" s="1"/>
  <c r="Z100" i="4"/>
  <c r="Z101" i="4"/>
  <c r="Z102" i="4"/>
  <c r="AA102" i="4" s="1"/>
  <c r="Z103" i="4"/>
  <c r="AA103" i="4" s="1"/>
  <c r="Z104" i="4"/>
  <c r="AA104" i="4" s="1"/>
  <c r="Z105" i="4"/>
  <c r="AA105" i="4" s="1"/>
  <c r="Z106" i="4"/>
  <c r="AA106" i="4" s="1"/>
  <c r="Z107" i="4"/>
  <c r="Z108" i="4"/>
  <c r="AA108" i="4" s="1"/>
  <c r="Z109" i="4"/>
  <c r="Z110" i="4"/>
  <c r="AA110" i="4" s="1"/>
  <c r="Z111" i="4"/>
  <c r="AA111" i="4" s="1"/>
  <c r="Z112" i="4"/>
  <c r="AA112" i="4" s="1"/>
  <c r="Z113" i="4"/>
  <c r="AA113" i="4" s="1"/>
  <c r="Z114" i="4"/>
  <c r="AA114" i="4" s="1"/>
  <c r="Z115" i="4"/>
  <c r="AA115" i="4" s="1"/>
  <c r="Z116" i="4"/>
  <c r="AA116" i="4" s="1"/>
  <c r="Z117" i="4"/>
  <c r="Z118" i="4"/>
  <c r="AA118" i="4" s="1"/>
  <c r="Z119" i="4"/>
  <c r="Z120" i="4"/>
  <c r="AA120" i="4" s="1"/>
  <c r="Z121" i="4"/>
  <c r="Z122" i="4"/>
  <c r="AA122" i="4" s="1"/>
  <c r="Z123" i="4"/>
  <c r="AA123" i="4" s="1"/>
  <c r="Z124" i="4"/>
  <c r="Z125" i="4"/>
  <c r="Z126" i="4"/>
  <c r="AA126" i="4" s="1"/>
  <c r="Z127" i="4"/>
  <c r="AA127" i="4" s="1"/>
  <c r="Z128" i="4"/>
  <c r="Z129" i="4"/>
  <c r="AA129" i="4" s="1"/>
  <c r="Z130" i="4"/>
  <c r="Z131" i="4"/>
  <c r="AA131" i="4" s="1"/>
  <c r="Z132" i="4"/>
  <c r="AA132" i="4" s="1"/>
  <c r="Z133" i="4"/>
  <c r="AA133" i="4" s="1"/>
  <c r="Z134" i="4"/>
  <c r="Z135" i="4"/>
  <c r="Z136" i="4"/>
  <c r="AA136" i="4" s="1"/>
  <c r="Z137" i="4"/>
  <c r="AA137" i="4" s="1"/>
  <c r="Z138" i="4"/>
  <c r="AA138" i="4" s="1"/>
  <c r="Z139" i="4"/>
  <c r="AA139" i="4" s="1"/>
  <c r="Z140" i="4"/>
  <c r="AA140" i="4" s="1"/>
  <c r="Z141" i="4"/>
  <c r="AA141" i="4" s="1"/>
  <c r="Z142" i="4"/>
  <c r="AA142" i="4" s="1"/>
  <c r="Z143" i="4"/>
  <c r="AA143" i="4" s="1"/>
  <c r="Z144" i="4"/>
  <c r="AA144" i="4" s="1"/>
  <c r="Z145" i="4"/>
  <c r="Z146" i="4"/>
  <c r="AA146" i="4" s="1"/>
  <c r="Z147" i="4"/>
  <c r="AA147" i="4" s="1"/>
  <c r="Z148" i="4"/>
  <c r="AA148" i="4" s="1"/>
  <c r="Z149" i="4"/>
  <c r="Z150" i="4"/>
  <c r="Z151" i="4"/>
  <c r="AA151" i="4" s="1"/>
  <c r="Z152" i="4"/>
  <c r="AA152" i="4" s="1"/>
  <c r="Z153" i="4"/>
  <c r="AA153" i="4" s="1"/>
  <c r="Z154" i="4"/>
  <c r="AA154" i="4" s="1"/>
  <c r="Z155" i="4"/>
  <c r="AA155" i="4" s="1"/>
  <c r="Z156" i="4"/>
  <c r="Z157" i="4"/>
  <c r="AA157" i="4" s="1"/>
  <c r="Z158" i="4"/>
  <c r="Z159" i="4"/>
  <c r="AA159" i="4" s="1"/>
  <c r="Z160" i="4"/>
  <c r="AA160" i="4" s="1"/>
  <c r="Z161" i="4"/>
  <c r="AA161" i="4" s="1"/>
  <c r="Z162" i="4"/>
  <c r="AA162" i="4" s="1"/>
  <c r="Z163" i="4"/>
  <c r="Z164" i="4"/>
  <c r="AA164" i="4" s="1"/>
  <c r="Z165" i="4"/>
  <c r="AA165" i="4" s="1"/>
  <c r="Z166" i="4"/>
  <c r="AA166" i="4" s="1"/>
  <c r="Z167" i="4"/>
  <c r="Z168" i="4"/>
  <c r="Z169" i="4"/>
  <c r="AA169" i="4" s="1"/>
  <c r="Z170" i="4"/>
  <c r="AA170" i="4" s="1"/>
  <c r="Z171" i="4"/>
  <c r="AA171" i="4" s="1"/>
  <c r="Z172" i="4"/>
  <c r="AA172" i="4" s="1"/>
  <c r="Z173" i="4"/>
  <c r="AA173" i="4" s="1"/>
  <c r="Z174" i="4"/>
  <c r="AA174" i="4" s="1"/>
  <c r="Z175" i="4"/>
  <c r="AA175" i="4" s="1"/>
  <c r="Z176" i="4"/>
  <c r="AA176" i="4" s="1"/>
  <c r="Z177" i="4"/>
  <c r="AA177" i="4" s="1"/>
  <c r="Z178" i="4"/>
  <c r="AA178" i="4" s="1"/>
  <c r="Z179" i="4"/>
  <c r="AA179" i="4" s="1"/>
  <c r="Z180" i="4"/>
  <c r="AA180" i="4" s="1"/>
  <c r="Z181" i="4"/>
  <c r="AA181" i="4" s="1"/>
  <c r="Z182" i="4"/>
  <c r="AA182" i="4" s="1"/>
  <c r="Z183" i="4"/>
  <c r="Z184" i="4"/>
  <c r="AA184" i="4" s="1"/>
  <c r="Z185" i="4"/>
  <c r="Z186" i="4"/>
  <c r="Z187" i="4"/>
  <c r="Z188" i="4"/>
  <c r="AA188" i="4" s="1"/>
  <c r="Z189" i="4"/>
  <c r="AA189" i="4" s="1"/>
  <c r="Z190" i="4"/>
  <c r="AA190" i="4" s="1"/>
  <c r="Z191" i="4"/>
  <c r="AA191" i="4" s="1"/>
  <c r="Z192" i="4"/>
  <c r="AA192" i="4" s="1"/>
  <c r="Z193" i="4"/>
  <c r="AA193" i="4" s="1"/>
  <c r="Z194" i="4"/>
  <c r="AA194" i="4" s="1"/>
  <c r="Z195" i="4"/>
  <c r="AA195" i="4" s="1"/>
  <c r="Z196" i="4"/>
  <c r="AA196" i="4" s="1"/>
  <c r="Z197" i="4"/>
  <c r="AA197" i="4" s="1"/>
  <c r="Z198" i="4"/>
  <c r="AA198" i="4" s="1"/>
  <c r="Z199" i="4"/>
  <c r="Z200" i="4"/>
  <c r="AA200" i="4" s="1"/>
  <c r="Z201" i="4"/>
  <c r="AA201" i="4" s="1"/>
  <c r="Z202" i="4"/>
  <c r="AA202" i="4" s="1"/>
  <c r="Z203" i="4"/>
  <c r="AA203" i="4" s="1"/>
  <c r="Z204" i="4"/>
  <c r="AA204" i="4" s="1"/>
  <c r="Z205" i="4"/>
  <c r="Z206" i="4"/>
  <c r="AA206" i="4" s="1"/>
  <c r="Z207" i="4"/>
  <c r="Z208" i="4"/>
  <c r="Z209" i="4"/>
  <c r="Z210" i="4"/>
  <c r="AA210" i="4" s="1"/>
  <c r="Z211" i="4"/>
  <c r="AA211" i="4" s="1"/>
  <c r="Z212" i="4"/>
  <c r="AA212" i="4" s="1"/>
  <c r="Z213" i="4"/>
  <c r="Z214" i="4"/>
  <c r="AA214" i="4" s="1"/>
  <c r="Z215" i="4"/>
  <c r="AA215" i="4" s="1"/>
  <c r="Z216" i="4"/>
  <c r="AA216" i="4" s="1"/>
  <c r="Z217" i="4"/>
  <c r="Z218" i="4"/>
  <c r="AA218" i="4" s="1"/>
  <c r="Z219" i="4"/>
  <c r="AA219" i="4" s="1"/>
  <c r="Z220" i="4"/>
  <c r="AA220" i="4" s="1"/>
  <c r="Z221" i="4"/>
  <c r="Z222" i="4"/>
  <c r="Z223" i="4"/>
  <c r="AA223" i="4" s="1"/>
  <c r="Z224" i="4"/>
  <c r="Z225" i="4"/>
  <c r="Z226" i="4"/>
  <c r="Z227" i="4"/>
  <c r="Z228" i="4"/>
  <c r="AA228" i="4" s="1"/>
  <c r="Z229" i="4"/>
  <c r="AA229" i="4" s="1"/>
  <c r="Z230" i="4"/>
  <c r="AA230" i="4" s="1"/>
  <c r="Z231" i="4"/>
  <c r="Z232" i="4"/>
  <c r="Z233" i="4"/>
  <c r="Z234" i="4"/>
  <c r="Z235" i="4"/>
  <c r="AA235" i="4" s="1"/>
  <c r="Z236" i="4"/>
  <c r="AA236" i="4" s="1"/>
  <c r="Z237" i="4"/>
  <c r="Z238" i="4"/>
  <c r="AA238" i="4" s="1"/>
  <c r="Z239" i="4"/>
  <c r="AA239" i="4" s="1"/>
  <c r="Z240" i="4"/>
  <c r="AA240" i="4" s="1"/>
  <c r="Z241" i="4"/>
  <c r="AA241" i="4" s="1"/>
  <c r="Z242" i="4"/>
  <c r="AA242" i="4" s="1"/>
  <c r="Z243" i="4"/>
  <c r="AA243" i="4" s="1"/>
  <c r="Z244" i="4"/>
  <c r="AA244" i="4" s="1"/>
  <c r="Z245" i="4"/>
  <c r="Z246" i="4"/>
  <c r="AA246" i="4" s="1"/>
  <c r="Z247" i="4"/>
  <c r="Z248" i="4"/>
  <c r="Z249" i="4"/>
  <c r="AA249" i="4" s="1"/>
  <c r="Z250" i="4"/>
  <c r="AA250" i="4" s="1"/>
  <c r="Z251" i="4"/>
  <c r="AA251" i="4" s="1"/>
  <c r="AA28" i="4"/>
  <c r="AA33" i="4"/>
  <c r="AA37" i="4"/>
  <c r="AA40" i="4"/>
  <c r="AA41" i="4"/>
  <c r="AA43" i="4"/>
  <c r="AA48" i="4"/>
  <c r="AA50" i="4"/>
  <c r="AA52" i="4"/>
  <c r="AA53" i="4"/>
  <c r="AA54" i="4"/>
  <c r="AA61" i="4"/>
  <c r="AA65" i="4"/>
  <c r="AA74" i="4"/>
  <c r="AA76" i="4"/>
  <c r="AA77" i="4"/>
  <c r="AA79" i="4"/>
  <c r="AA81" i="4"/>
  <c r="AA92" i="4"/>
  <c r="AA100" i="4"/>
  <c r="AA101" i="4"/>
  <c r="AA107" i="4"/>
  <c r="AA109" i="4"/>
  <c r="AA117" i="4"/>
  <c r="AA119" i="4"/>
  <c r="AA121" i="4"/>
  <c r="AA124" i="4"/>
  <c r="AA125" i="4"/>
  <c r="AA128" i="4"/>
  <c r="AA130" i="4"/>
  <c r="AA134" i="4"/>
  <c r="AA135" i="4"/>
  <c r="AA145" i="4"/>
  <c r="AA149" i="4"/>
  <c r="AA150" i="4"/>
  <c r="AA156" i="4"/>
  <c r="AA158" i="4"/>
  <c r="AA163" i="4"/>
  <c r="AA167" i="4"/>
  <c r="AA168" i="4"/>
  <c r="AA183" i="4"/>
  <c r="AA185" i="4"/>
  <c r="AA186" i="4"/>
  <c r="AA187" i="4"/>
  <c r="AA199" i="4"/>
  <c r="AA205" i="4"/>
  <c r="AA207" i="4"/>
  <c r="AA208" i="4"/>
  <c r="AA209" i="4"/>
  <c r="AA213" i="4"/>
  <c r="AA217" i="4"/>
  <c r="AA221" i="4"/>
  <c r="AA222" i="4"/>
  <c r="AA224" i="4"/>
  <c r="AA225" i="4"/>
  <c r="AA226" i="4"/>
  <c r="AA227" i="4"/>
  <c r="AA231" i="4"/>
  <c r="AA232" i="4"/>
  <c r="AA233" i="4"/>
  <c r="AA234" i="4"/>
  <c r="AA237" i="4"/>
  <c r="AA245" i="4"/>
  <c r="AA247" i="4"/>
  <c r="AA248" i="4"/>
  <c r="AB27" i="4"/>
  <c r="AG27" i="4" s="1"/>
  <c r="AB28" i="4"/>
  <c r="AB29" i="4"/>
  <c r="AB30" i="4"/>
  <c r="AH30" i="4" s="1"/>
  <c r="AB31" i="4"/>
  <c r="AG31" i="4" s="1"/>
  <c r="AB32" i="4"/>
  <c r="AH32" i="4" s="1"/>
  <c r="AB33" i="4"/>
  <c r="AG33" i="4" s="1"/>
  <c r="AB34" i="4"/>
  <c r="AG34" i="4" s="1"/>
  <c r="AB35" i="4"/>
  <c r="AG35" i="4" s="1"/>
  <c r="AB36" i="4"/>
  <c r="AH36" i="4" s="1"/>
  <c r="AB37" i="4"/>
  <c r="AG37" i="4" s="1"/>
  <c r="AB38" i="4"/>
  <c r="AG38" i="4" s="1"/>
  <c r="AB39" i="4"/>
  <c r="AG39" i="4" s="1"/>
  <c r="AB40" i="4"/>
  <c r="AB41" i="4"/>
  <c r="AB42" i="4"/>
  <c r="AG42" i="4" s="1"/>
  <c r="AB43" i="4"/>
  <c r="AH43" i="4" s="1"/>
  <c r="AB44" i="4"/>
  <c r="AH44" i="4" s="1"/>
  <c r="AB45" i="4"/>
  <c r="AH45" i="4" s="1"/>
  <c r="AB46" i="4"/>
  <c r="AH46" i="4" s="1"/>
  <c r="AB47" i="4"/>
  <c r="AH47" i="4" s="1"/>
  <c r="AB48" i="4"/>
  <c r="AH48" i="4" s="1"/>
  <c r="AB49" i="4"/>
  <c r="AG49" i="4" s="1"/>
  <c r="AB50" i="4"/>
  <c r="AH50" i="4" s="1"/>
  <c r="AB51" i="4"/>
  <c r="AG51" i="4" s="1"/>
  <c r="AB52" i="4"/>
  <c r="AB53" i="4"/>
  <c r="AB54" i="4"/>
  <c r="AH54" i="4" s="1"/>
  <c r="AB55" i="4"/>
  <c r="AH55" i="4" s="1"/>
  <c r="AB56" i="4"/>
  <c r="AH56" i="4" s="1"/>
  <c r="AB57" i="4"/>
  <c r="AH57" i="4" s="1"/>
  <c r="AB58" i="4"/>
  <c r="AG58" i="4" s="1"/>
  <c r="AB59" i="4"/>
  <c r="AH59" i="4" s="1"/>
  <c r="AB60" i="4"/>
  <c r="AG60" i="4" s="1"/>
  <c r="AB61" i="4"/>
  <c r="AG61" i="4" s="1"/>
  <c r="AB62" i="4"/>
  <c r="AG62" i="4" s="1"/>
  <c r="AB63" i="4"/>
  <c r="AH63" i="4" s="1"/>
  <c r="AB64" i="4"/>
  <c r="AB65" i="4"/>
  <c r="AB66" i="4"/>
  <c r="AH66" i="4" s="1"/>
  <c r="AB67" i="4"/>
  <c r="AG67" i="4" s="1"/>
  <c r="AB68" i="4"/>
  <c r="AG68" i="4" s="1"/>
  <c r="AB69" i="4"/>
  <c r="AH69" i="4" s="1"/>
  <c r="AB70" i="4"/>
  <c r="AG70" i="4" s="1"/>
  <c r="AB71" i="4"/>
  <c r="AG71" i="4" s="1"/>
  <c r="AB72" i="4"/>
  <c r="AG72" i="4" s="1"/>
  <c r="AB73" i="4"/>
  <c r="AH73" i="4" s="1"/>
  <c r="AB74" i="4"/>
  <c r="AG74" i="4" s="1"/>
  <c r="AB75" i="4"/>
  <c r="AG75" i="4" s="1"/>
  <c r="AB76" i="4"/>
  <c r="AB77" i="4"/>
  <c r="AG77" i="4" s="1"/>
  <c r="AB78" i="4"/>
  <c r="AH78" i="4" s="1"/>
  <c r="AB79" i="4"/>
  <c r="AH79" i="4" s="1"/>
  <c r="AB80" i="4"/>
  <c r="AH80" i="4" s="1"/>
  <c r="AB81" i="4"/>
  <c r="AG81" i="4" s="1"/>
  <c r="AB82" i="4"/>
  <c r="AH82" i="4" s="1"/>
  <c r="AB83" i="4"/>
  <c r="AG83" i="4" s="1"/>
  <c r="AB84" i="4"/>
  <c r="AG84" i="4" s="1"/>
  <c r="AB85" i="4"/>
  <c r="AG85" i="4" s="1"/>
  <c r="AB86" i="4"/>
  <c r="AG86" i="4" s="1"/>
  <c r="AB87" i="4"/>
  <c r="AG87" i="4" s="1"/>
  <c r="AB88" i="4"/>
  <c r="AG88" i="4" s="1"/>
  <c r="AB89" i="4"/>
  <c r="AG89" i="4" s="1"/>
  <c r="AB90" i="4"/>
  <c r="AG90" i="4" s="1"/>
  <c r="AB91" i="4"/>
  <c r="AH91" i="4" s="1"/>
  <c r="AB92" i="4"/>
  <c r="AG92" i="4" s="1"/>
  <c r="AB93" i="4"/>
  <c r="AH93" i="4" s="1"/>
  <c r="AB94" i="4"/>
  <c r="AH94" i="4" s="1"/>
  <c r="AB95" i="4"/>
  <c r="AG95" i="4" s="1"/>
  <c r="AB96" i="4"/>
  <c r="AH96" i="4" s="1"/>
  <c r="AB97" i="4"/>
  <c r="AG97" i="4" s="1"/>
  <c r="AB98" i="4"/>
  <c r="AH98" i="4" s="1"/>
  <c r="AB99" i="4"/>
  <c r="AG99" i="4" s="1"/>
  <c r="AB100" i="4"/>
  <c r="AH100" i="4" s="1"/>
  <c r="AB101" i="4"/>
  <c r="AH101" i="4" s="1"/>
  <c r="AB102" i="4"/>
  <c r="AG102" i="4" s="1"/>
  <c r="AB103" i="4"/>
  <c r="AH103" i="4" s="1"/>
  <c r="AB104" i="4"/>
  <c r="AG104" i="4" s="1"/>
  <c r="AB105" i="4"/>
  <c r="AH105" i="4" s="1"/>
  <c r="AB106" i="4"/>
  <c r="AG106" i="4" s="1"/>
  <c r="AB107" i="4"/>
  <c r="AH107" i="4" s="1"/>
  <c r="AB108" i="4"/>
  <c r="AH108" i="4" s="1"/>
  <c r="AB109" i="4"/>
  <c r="AG109" i="4" s="1"/>
  <c r="AB110" i="4"/>
  <c r="AG110" i="4" s="1"/>
  <c r="AB111" i="4"/>
  <c r="AG111" i="4" s="1"/>
  <c r="AB112" i="4"/>
  <c r="AG112" i="4" s="1"/>
  <c r="AB113" i="4"/>
  <c r="AH113" i="4" s="1"/>
  <c r="AB114" i="4"/>
  <c r="AH114" i="4" s="1"/>
  <c r="AB115" i="4"/>
  <c r="AH115" i="4" s="1"/>
  <c r="AB116" i="4"/>
  <c r="AH116" i="4" s="1"/>
  <c r="AB117" i="4"/>
  <c r="AH117" i="4" s="1"/>
  <c r="AB118" i="4"/>
  <c r="AG118" i="4" s="1"/>
  <c r="AB119" i="4"/>
  <c r="AG119" i="4" s="1"/>
  <c r="AB120" i="4"/>
  <c r="AG120" i="4" s="1"/>
  <c r="AB121" i="4"/>
  <c r="AH121" i="4" s="1"/>
  <c r="AB122" i="4"/>
  <c r="AH122" i="4" s="1"/>
  <c r="AB123" i="4"/>
  <c r="AG123" i="4" s="1"/>
  <c r="AB124" i="4"/>
  <c r="AG124" i="4" s="1"/>
  <c r="AB125" i="4"/>
  <c r="AG125" i="4" s="1"/>
  <c r="AB126" i="4"/>
  <c r="AH126" i="4" s="1"/>
  <c r="AB127" i="4"/>
  <c r="AH127" i="4" s="1"/>
  <c r="AB128" i="4"/>
  <c r="AH128" i="4" s="1"/>
  <c r="AB129" i="4"/>
  <c r="AH129" i="4" s="1"/>
  <c r="AB130" i="4"/>
  <c r="AH130" i="4" s="1"/>
  <c r="AB131" i="4"/>
  <c r="AH131" i="4" s="1"/>
  <c r="AB132" i="4"/>
  <c r="AG132" i="4" s="1"/>
  <c r="AB133" i="4"/>
  <c r="AG133" i="4" s="1"/>
  <c r="AB134" i="4"/>
  <c r="AH134" i="4" s="1"/>
  <c r="AB135" i="4"/>
  <c r="AH135" i="4" s="1"/>
  <c r="AB136" i="4"/>
  <c r="AH136" i="4" s="1"/>
  <c r="AB137" i="4"/>
  <c r="AH137" i="4" s="1"/>
  <c r="AB138" i="4"/>
  <c r="AH138" i="4" s="1"/>
  <c r="AB139" i="4"/>
  <c r="AH139" i="4" s="1"/>
  <c r="AB140" i="4"/>
  <c r="AG140" i="4" s="1"/>
  <c r="AB141" i="4"/>
  <c r="AG141" i="4" s="1"/>
  <c r="AB142" i="4"/>
  <c r="AH142" i="4" s="1"/>
  <c r="AB143" i="4"/>
  <c r="AH143" i="4" s="1"/>
  <c r="AB144" i="4"/>
  <c r="AH144" i="4" s="1"/>
  <c r="AB145" i="4"/>
  <c r="AG145" i="4" s="1"/>
  <c r="AB146" i="4"/>
  <c r="AG146" i="4" s="1"/>
  <c r="AB147" i="4"/>
  <c r="AG147" i="4" s="1"/>
  <c r="AB148" i="4"/>
  <c r="AH148" i="4" s="1"/>
  <c r="AB149" i="4"/>
  <c r="AB150" i="4"/>
  <c r="AH150" i="4" s="1"/>
  <c r="AB151" i="4"/>
  <c r="AH151" i="4" s="1"/>
  <c r="AB152" i="4"/>
  <c r="AH152" i="4" s="1"/>
  <c r="AB153" i="4"/>
  <c r="AH153" i="4" s="1"/>
  <c r="AB154" i="4"/>
  <c r="AH154" i="4" s="1"/>
  <c r="AB155" i="4"/>
  <c r="AG155" i="4" s="1"/>
  <c r="AB156" i="4"/>
  <c r="AH156" i="4" s="1"/>
  <c r="AB157" i="4"/>
  <c r="AH157" i="4" s="1"/>
  <c r="AB158" i="4"/>
  <c r="AG158" i="4" s="1"/>
  <c r="AB159" i="4"/>
  <c r="AG159" i="4" s="1"/>
  <c r="AB160" i="4"/>
  <c r="AG160" i="4" s="1"/>
  <c r="AB161" i="4"/>
  <c r="AH161" i="4" s="1"/>
  <c r="AB162" i="4"/>
  <c r="AH162" i="4" s="1"/>
  <c r="AB163" i="4"/>
  <c r="AH163" i="4" s="1"/>
  <c r="AB164" i="4"/>
  <c r="AG164" i="4" s="1"/>
  <c r="AB165" i="4"/>
  <c r="AG165" i="4" s="1"/>
  <c r="AB166" i="4"/>
  <c r="AG166" i="4" s="1"/>
  <c r="AB167" i="4"/>
  <c r="AG167" i="4" s="1"/>
  <c r="AB168" i="4"/>
  <c r="AH168" i="4" s="1"/>
  <c r="AB169" i="4"/>
  <c r="AH169" i="4" s="1"/>
  <c r="AB170" i="4"/>
  <c r="AH170" i="4" s="1"/>
  <c r="AB171" i="4"/>
  <c r="AH171" i="4" s="1"/>
  <c r="AB172" i="4"/>
  <c r="AG172" i="4" s="1"/>
  <c r="AB173" i="4"/>
  <c r="AG173" i="4" s="1"/>
  <c r="AB174" i="4"/>
  <c r="AG174" i="4" s="1"/>
  <c r="AB175" i="4"/>
  <c r="AH175" i="4" s="1"/>
  <c r="AB176" i="4"/>
  <c r="AH176" i="4" s="1"/>
  <c r="AB177" i="4"/>
  <c r="AG177" i="4" s="1"/>
  <c r="AB178" i="4"/>
  <c r="AG178" i="4" s="1"/>
  <c r="AB179" i="4"/>
  <c r="AH179" i="4" s="1"/>
  <c r="AB180" i="4"/>
  <c r="AH180" i="4" s="1"/>
  <c r="AB181" i="4"/>
  <c r="AG181" i="4" s="1"/>
  <c r="AB182" i="4"/>
  <c r="AG182" i="4" s="1"/>
  <c r="AB183" i="4"/>
  <c r="AG183" i="4" s="1"/>
  <c r="AB184" i="4"/>
  <c r="AG184" i="4" s="1"/>
  <c r="AB185" i="4"/>
  <c r="AH185" i="4" s="1"/>
  <c r="AB186" i="4"/>
  <c r="AH186" i="4" s="1"/>
  <c r="AB187" i="4"/>
  <c r="AH187" i="4" s="1"/>
  <c r="AB188" i="4"/>
  <c r="AH188" i="4" s="1"/>
  <c r="AB189" i="4"/>
  <c r="AG189" i="4" s="1"/>
  <c r="AB190" i="4"/>
  <c r="AG190" i="4" s="1"/>
  <c r="AB191" i="4"/>
  <c r="AG191" i="4" s="1"/>
  <c r="AB192" i="4"/>
  <c r="AG192" i="4" s="1"/>
  <c r="AB193" i="4"/>
  <c r="AG193" i="4" s="1"/>
  <c r="AB194" i="4"/>
  <c r="AG194" i="4" s="1"/>
  <c r="AB195" i="4"/>
  <c r="AG195" i="4" s="1"/>
  <c r="AB196" i="4"/>
  <c r="AB197" i="4"/>
  <c r="AH197" i="4" s="1"/>
  <c r="AB198" i="4"/>
  <c r="AG198" i="4" s="1"/>
  <c r="AB199" i="4"/>
  <c r="AG199" i="4" s="1"/>
  <c r="AB200" i="4"/>
  <c r="AG200" i="4" s="1"/>
  <c r="AB201" i="4"/>
  <c r="AG201" i="4" s="1"/>
  <c r="AB202" i="4"/>
  <c r="AG202" i="4" s="1"/>
  <c r="AB203" i="4"/>
  <c r="AG203" i="4" s="1"/>
  <c r="AB204" i="4"/>
  <c r="AG204" i="4" s="1"/>
  <c r="AB205" i="4"/>
  <c r="AG205" i="4" s="1"/>
  <c r="AB206" i="4"/>
  <c r="AG206" i="4" s="1"/>
  <c r="AB207" i="4"/>
  <c r="AG207" i="4" s="1"/>
  <c r="AB208" i="4"/>
  <c r="AH208" i="4" s="1"/>
  <c r="AB209" i="4"/>
  <c r="AH209" i="4" s="1"/>
  <c r="AB210" i="4"/>
  <c r="AH210" i="4" s="1"/>
  <c r="AB211" i="4"/>
  <c r="AH211" i="4" s="1"/>
  <c r="AB212" i="4"/>
  <c r="AH212" i="4" s="1"/>
  <c r="AB213" i="4"/>
  <c r="AH213" i="4" s="1"/>
  <c r="AB214" i="4"/>
  <c r="AH214" i="4" s="1"/>
  <c r="AB215" i="4"/>
  <c r="AH215" i="4" s="1"/>
  <c r="AB216" i="4"/>
  <c r="AG216" i="4" s="1"/>
  <c r="AB217" i="4"/>
  <c r="AG217" i="4" s="1"/>
  <c r="AB218" i="4"/>
  <c r="AG218" i="4" s="1"/>
  <c r="AB219" i="4"/>
  <c r="AG219" i="4" s="1"/>
  <c r="AB220" i="4"/>
  <c r="AG220" i="4" s="1"/>
  <c r="AB221" i="4"/>
  <c r="AG221" i="4" s="1"/>
  <c r="AB222" i="4"/>
  <c r="AG222" i="4" s="1"/>
  <c r="AB223" i="4"/>
  <c r="AH223" i="4" s="1"/>
  <c r="AB224" i="4"/>
  <c r="AG224" i="4" s="1"/>
  <c r="AB225" i="4"/>
  <c r="AG225" i="4" s="1"/>
  <c r="AB226" i="4"/>
  <c r="AG226" i="4" s="1"/>
  <c r="AB227" i="4"/>
  <c r="AG227" i="4" s="1"/>
  <c r="AB228" i="4"/>
  <c r="AH228" i="4" s="1"/>
  <c r="AB229" i="4"/>
  <c r="AG229" i="4" s="1"/>
  <c r="AB230" i="4"/>
  <c r="AG230" i="4" s="1"/>
  <c r="AB231" i="4"/>
  <c r="AG231" i="4" s="1"/>
  <c r="AB232" i="4"/>
  <c r="AG232" i="4" s="1"/>
  <c r="AB233" i="4"/>
  <c r="AG233" i="4" s="1"/>
  <c r="AB234" i="4"/>
  <c r="AH234" i="4" s="1"/>
  <c r="AB235" i="4"/>
  <c r="AH235" i="4" s="1"/>
  <c r="AB236" i="4"/>
  <c r="AH236" i="4" s="1"/>
  <c r="AB237" i="4"/>
  <c r="AG237" i="4" s="1"/>
  <c r="AB238" i="4"/>
  <c r="AH238" i="4" s="1"/>
  <c r="AB239" i="4"/>
  <c r="AB240" i="4"/>
  <c r="AH240" i="4" s="1"/>
  <c r="AB241" i="4"/>
  <c r="AG241" i="4" s="1"/>
  <c r="AB242" i="4"/>
  <c r="AG242" i="4" s="1"/>
  <c r="AB243" i="4"/>
  <c r="AG243" i="4" s="1"/>
  <c r="AB244" i="4"/>
  <c r="AG244" i="4" s="1"/>
  <c r="AB245" i="4"/>
  <c r="AG245" i="4" s="1"/>
  <c r="AB246" i="4"/>
  <c r="AG246" i="4" s="1"/>
  <c r="AB247" i="4"/>
  <c r="AG247" i="4" s="1"/>
  <c r="AB248" i="4"/>
  <c r="AG248" i="4" s="1"/>
  <c r="AB249" i="4"/>
  <c r="AG249" i="4" s="1"/>
  <c r="AB250" i="4"/>
  <c r="AG250" i="4" s="1"/>
  <c r="AB251" i="4"/>
  <c r="AH251" i="4" s="1"/>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C64" i="4"/>
  <c r="AC65" i="4"/>
  <c r="AC66" i="4"/>
  <c r="AC67"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109" i="4"/>
  <c r="AC110" i="4"/>
  <c r="AC111" i="4"/>
  <c r="AC112" i="4"/>
  <c r="AC113" i="4"/>
  <c r="AC114" i="4"/>
  <c r="AC115" i="4"/>
  <c r="AC116" i="4"/>
  <c r="AC117" i="4"/>
  <c r="AC118" i="4"/>
  <c r="AC119" i="4"/>
  <c r="AC120" i="4"/>
  <c r="AC121" i="4"/>
  <c r="AC122" i="4"/>
  <c r="AC123" i="4"/>
  <c r="AC124" i="4"/>
  <c r="AC125" i="4"/>
  <c r="AC126" i="4"/>
  <c r="AC127" i="4"/>
  <c r="AC128" i="4"/>
  <c r="AC129" i="4"/>
  <c r="AC130" i="4"/>
  <c r="AC131" i="4"/>
  <c r="AC132" i="4"/>
  <c r="AC133" i="4"/>
  <c r="AC134" i="4"/>
  <c r="AC135" i="4"/>
  <c r="AC136" i="4"/>
  <c r="AC137" i="4"/>
  <c r="AC138" i="4"/>
  <c r="AC139" i="4"/>
  <c r="AC140" i="4"/>
  <c r="AC141" i="4"/>
  <c r="AC142" i="4"/>
  <c r="AC143" i="4"/>
  <c r="AC144" i="4"/>
  <c r="AC145" i="4"/>
  <c r="AC146" i="4"/>
  <c r="AC147" i="4"/>
  <c r="AC148" i="4"/>
  <c r="AC149" i="4"/>
  <c r="AC150" i="4"/>
  <c r="AC151" i="4"/>
  <c r="AC152" i="4"/>
  <c r="AC153" i="4"/>
  <c r="AC154" i="4"/>
  <c r="AC155" i="4"/>
  <c r="AC156" i="4"/>
  <c r="AC157" i="4"/>
  <c r="AC158" i="4"/>
  <c r="AC159" i="4"/>
  <c r="AC160" i="4"/>
  <c r="AC161" i="4"/>
  <c r="AC162" i="4"/>
  <c r="AC163" i="4"/>
  <c r="AC164" i="4"/>
  <c r="AC165" i="4"/>
  <c r="AC166" i="4"/>
  <c r="AC167" i="4"/>
  <c r="AC168" i="4"/>
  <c r="AC169" i="4"/>
  <c r="AC170" i="4"/>
  <c r="AC171" i="4"/>
  <c r="AC172" i="4"/>
  <c r="AC173" i="4"/>
  <c r="AC174" i="4"/>
  <c r="AC175" i="4"/>
  <c r="AC176" i="4"/>
  <c r="AC177" i="4"/>
  <c r="AC178" i="4"/>
  <c r="AC179" i="4"/>
  <c r="AC180" i="4"/>
  <c r="AC181" i="4"/>
  <c r="AC182" i="4"/>
  <c r="AC183" i="4"/>
  <c r="AC184" i="4"/>
  <c r="AC185" i="4"/>
  <c r="AC186" i="4"/>
  <c r="AC187" i="4"/>
  <c r="AC188" i="4"/>
  <c r="AC189" i="4"/>
  <c r="AC190" i="4"/>
  <c r="AC191" i="4"/>
  <c r="AC192" i="4"/>
  <c r="AC193" i="4"/>
  <c r="AC194" i="4"/>
  <c r="AC195" i="4"/>
  <c r="AC196" i="4"/>
  <c r="AC197" i="4"/>
  <c r="AC198" i="4"/>
  <c r="AC199" i="4"/>
  <c r="AC200" i="4"/>
  <c r="AC201" i="4"/>
  <c r="AC202" i="4"/>
  <c r="AC203" i="4"/>
  <c r="AC204" i="4"/>
  <c r="AC205" i="4"/>
  <c r="AC206" i="4"/>
  <c r="AC207" i="4"/>
  <c r="AC208" i="4"/>
  <c r="AC209" i="4"/>
  <c r="AC210" i="4"/>
  <c r="AC211" i="4"/>
  <c r="AC212" i="4"/>
  <c r="AC213" i="4"/>
  <c r="AC214" i="4"/>
  <c r="AC215" i="4"/>
  <c r="AC216" i="4"/>
  <c r="AC217" i="4"/>
  <c r="AC218" i="4"/>
  <c r="AC219" i="4"/>
  <c r="AC220" i="4"/>
  <c r="AC221" i="4"/>
  <c r="AC222" i="4"/>
  <c r="AC223" i="4"/>
  <c r="AC224" i="4"/>
  <c r="AC225" i="4"/>
  <c r="AC226" i="4"/>
  <c r="AC227" i="4"/>
  <c r="AC228" i="4"/>
  <c r="AC229" i="4"/>
  <c r="AC230" i="4"/>
  <c r="AC231" i="4"/>
  <c r="AC232" i="4"/>
  <c r="AC233" i="4"/>
  <c r="AC234" i="4"/>
  <c r="AC235" i="4"/>
  <c r="AC236" i="4"/>
  <c r="AC237" i="4"/>
  <c r="AC238" i="4"/>
  <c r="AC239" i="4"/>
  <c r="AC240" i="4"/>
  <c r="AC241" i="4"/>
  <c r="AC242" i="4"/>
  <c r="AC243" i="4"/>
  <c r="AC244" i="4"/>
  <c r="AC245" i="4"/>
  <c r="AC246" i="4"/>
  <c r="AC247" i="4"/>
  <c r="AC248" i="4"/>
  <c r="AC249" i="4"/>
  <c r="AC250" i="4"/>
  <c r="AC251"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AD128" i="4"/>
  <c r="AD129" i="4"/>
  <c r="AD130" i="4"/>
  <c r="AD131" i="4"/>
  <c r="AD132" i="4"/>
  <c r="AD133" i="4"/>
  <c r="AD134" i="4"/>
  <c r="AD135" i="4"/>
  <c r="AD136" i="4"/>
  <c r="AD137" i="4"/>
  <c r="AD138" i="4"/>
  <c r="AD139" i="4"/>
  <c r="AD140" i="4"/>
  <c r="AD141" i="4"/>
  <c r="AD142" i="4"/>
  <c r="AD143" i="4"/>
  <c r="AD144" i="4"/>
  <c r="AD145" i="4"/>
  <c r="AD146" i="4"/>
  <c r="AD147" i="4"/>
  <c r="AD148" i="4"/>
  <c r="AD149" i="4"/>
  <c r="AD150" i="4"/>
  <c r="AD151" i="4"/>
  <c r="AD152" i="4"/>
  <c r="AD153" i="4"/>
  <c r="AD154" i="4"/>
  <c r="AD155" i="4"/>
  <c r="AD156" i="4"/>
  <c r="AD157" i="4"/>
  <c r="AD158" i="4"/>
  <c r="AD159" i="4"/>
  <c r="AD160" i="4"/>
  <c r="AD161" i="4"/>
  <c r="AD162" i="4"/>
  <c r="AD163" i="4"/>
  <c r="AD164" i="4"/>
  <c r="AD165" i="4"/>
  <c r="AD166" i="4"/>
  <c r="AD167" i="4"/>
  <c r="AD168" i="4"/>
  <c r="AD169" i="4"/>
  <c r="AD170" i="4"/>
  <c r="AD171" i="4"/>
  <c r="AD172" i="4"/>
  <c r="AD173" i="4"/>
  <c r="AD174" i="4"/>
  <c r="AD175" i="4"/>
  <c r="AD176" i="4"/>
  <c r="AD177" i="4"/>
  <c r="AD178" i="4"/>
  <c r="AD179" i="4"/>
  <c r="AD180" i="4"/>
  <c r="AD181" i="4"/>
  <c r="AD182" i="4"/>
  <c r="AD183" i="4"/>
  <c r="AD184" i="4"/>
  <c r="AD185" i="4"/>
  <c r="AD186" i="4"/>
  <c r="AD187" i="4"/>
  <c r="AD188" i="4"/>
  <c r="AD189" i="4"/>
  <c r="AD190" i="4"/>
  <c r="AD191" i="4"/>
  <c r="AD192" i="4"/>
  <c r="AD193" i="4"/>
  <c r="AD194" i="4"/>
  <c r="AD195" i="4"/>
  <c r="AD196" i="4"/>
  <c r="AD197" i="4"/>
  <c r="AD198" i="4"/>
  <c r="AD199" i="4"/>
  <c r="AD200" i="4"/>
  <c r="AD201" i="4"/>
  <c r="AD202" i="4"/>
  <c r="AD203" i="4"/>
  <c r="AD204" i="4"/>
  <c r="AD205" i="4"/>
  <c r="AD206" i="4"/>
  <c r="AD207" i="4"/>
  <c r="AD208" i="4"/>
  <c r="AD209" i="4"/>
  <c r="AD210" i="4"/>
  <c r="AD211" i="4"/>
  <c r="AD212" i="4"/>
  <c r="AD213" i="4"/>
  <c r="AD214" i="4"/>
  <c r="AD215" i="4"/>
  <c r="AD216" i="4"/>
  <c r="AD217" i="4"/>
  <c r="AD218" i="4"/>
  <c r="AD219" i="4"/>
  <c r="AD220" i="4"/>
  <c r="AD221" i="4"/>
  <c r="AD222" i="4"/>
  <c r="AD223" i="4"/>
  <c r="AD224" i="4"/>
  <c r="AD225" i="4"/>
  <c r="AD226" i="4"/>
  <c r="AD227" i="4"/>
  <c r="AD228" i="4"/>
  <c r="AD229" i="4"/>
  <c r="AD230" i="4"/>
  <c r="AD231" i="4"/>
  <c r="AD232" i="4"/>
  <c r="AD233" i="4"/>
  <c r="AD234" i="4"/>
  <c r="AD235" i="4"/>
  <c r="AD236" i="4"/>
  <c r="AD237" i="4"/>
  <c r="AD238" i="4"/>
  <c r="AD239" i="4"/>
  <c r="AD240" i="4"/>
  <c r="AD241" i="4"/>
  <c r="AD242" i="4"/>
  <c r="AD243" i="4"/>
  <c r="AD244" i="4"/>
  <c r="AD245" i="4"/>
  <c r="AD246" i="4"/>
  <c r="AD247" i="4"/>
  <c r="AD248" i="4"/>
  <c r="AD249" i="4"/>
  <c r="AD250" i="4"/>
  <c r="AD251"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226" i="4"/>
  <c r="AE227" i="4"/>
  <c r="AE228" i="4"/>
  <c r="AE229" i="4"/>
  <c r="AE230" i="4"/>
  <c r="AE231" i="4"/>
  <c r="AE232" i="4"/>
  <c r="AE233" i="4"/>
  <c r="AE234" i="4"/>
  <c r="AE235" i="4"/>
  <c r="AE236" i="4"/>
  <c r="AE237" i="4"/>
  <c r="AE238" i="4"/>
  <c r="AE239" i="4"/>
  <c r="AE240" i="4"/>
  <c r="AE241" i="4"/>
  <c r="AE242" i="4"/>
  <c r="AE243" i="4"/>
  <c r="AE244" i="4"/>
  <c r="AE245" i="4"/>
  <c r="AE246" i="4"/>
  <c r="AE247" i="4"/>
  <c r="AE248" i="4"/>
  <c r="AE249" i="4"/>
  <c r="AE250" i="4"/>
  <c r="AE251" i="4"/>
  <c r="AG30" i="4"/>
  <c r="AG32" i="4"/>
  <c r="AG44" i="4"/>
  <c r="AG45" i="4"/>
  <c r="AG46" i="4"/>
  <c r="AG50" i="4"/>
  <c r="AG59" i="4"/>
  <c r="AG63" i="4"/>
  <c r="AG80" i="4"/>
  <c r="AG82" i="4"/>
  <c r="AG100" i="4"/>
  <c r="AG101" i="4"/>
  <c r="AG103" i="4"/>
  <c r="AG113" i="4"/>
  <c r="AG122" i="4"/>
  <c r="AG126" i="4"/>
  <c r="AG129" i="4"/>
  <c r="AG130" i="4"/>
  <c r="AG131" i="4"/>
  <c r="AG134" i="4"/>
  <c r="AG135" i="4"/>
  <c r="AG136" i="4"/>
  <c r="AG137" i="4"/>
  <c r="AG139" i="4"/>
  <c r="AG143" i="4"/>
  <c r="AG144" i="4"/>
  <c r="AG148" i="4"/>
  <c r="AG150" i="4"/>
  <c r="AG151" i="4"/>
  <c r="AG157" i="4"/>
  <c r="AG161" i="4"/>
  <c r="AG169" i="4"/>
  <c r="AG170" i="4"/>
  <c r="AG171" i="4"/>
  <c r="AG175" i="4"/>
  <c r="AG176" i="4"/>
  <c r="AG179" i="4"/>
  <c r="AG180" i="4"/>
  <c r="AG187" i="4"/>
  <c r="AG188" i="4"/>
  <c r="AG196" i="4"/>
  <c r="AG208" i="4"/>
  <c r="AG211" i="4"/>
  <c r="AG212" i="4"/>
  <c r="AG213" i="4"/>
  <c r="AG214" i="4"/>
  <c r="AG215" i="4"/>
  <c r="AG228" i="4"/>
  <c r="AG238" i="4"/>
  <c r="AG239" i="4"/>
  <c r="AG240" i="4"/>
  <c r="AG251" i="4"/>
  <c r="AH27" i="4"/>
  <c r="AH31" i="4"/>
  <c r="AH33" i="4"/>
  <c r="AH37" i="4"/>
  <c r="AH38" i="4"/>
  <c r="AH42" i="4"/>
  <c r="AH49" i="4"/>
  <c r="AH58" i="4"/>
  <c r="AH61" i="4"/>
  <c r="AH67" i="4"/>
  <c r="AH68" i="4"/>
  <c r="AH72" i="4"/>
  <c r="AH74" i="4"/>
  <c r="AH77" i="4"/>
  <c r="AH81" i="4"/>
  <c r="AH85" i="4"/>
  <c r="AH87" i="4"/>
  <c r="AH89" i="4"/>
  <c r="AH90" i="4"/>
  <c r="AH97" i="4"/>
  <c r="AH99" i="4"/>
  <c r="AH102" i="4"/>
  <c r="AH110" i="4"/>
  <c r="AH112" i="4"/>
  <c r="AH120" i="4"/>
  <c r="AH125" i="4"/>
  <c r="AH132" i="4"/>
  <c r="AH133" i="4"/>
  <c r="AH158" i="4"/>
  <c r="AH165" i="4"/>
  <c r="AH167" i="4"/>
  <c r="AH174" i="4"/>
  <c r="AH181" i="4"/>
  <c r="AH182" i="4"/>
  <c r="AH184" i="4"/>
  <c r="AH189" i="4"/>
  <c r="AH191" i="4"/>
  <c r="AH192" i="4"/>
  <c r="AH193" i="4"/>
  <c r="AH194" i="4"/>
  <c r="AH195" i="4"/>
  <c r="AH196" i="4"/>
  <c r="AH198" i="4"/>
  <c r="AH199" i="4"/>
  <c r="AH206" i="4"/>
  <c r="AH216" i="4"/>
  <c r="AH217" i="4"/>
  <c r="AH219" i="4"/>
  <c r="AH220" i="4"/>
  <c r="AH221" i="4"/>
  <c r="AH222" i="4"/>
  <c r="AH224" i="4"/>
  <c r="AH226" i="4"/>
  <c r="AH231" i="4"/>
  <c r="AH232" i="4"/>
  <c r="AH237" i="4"/>
  <c r="AH239" i="4"/>
  <c r="AH242" i="4"/>
  <c r="AH243" i="4"/>
  <c r="AH244" i="4"/>
  <c r="AH245" i="4"/>
  <c r="AH246" i="4"/>
  <c r="AH248" i="4"/>
  <c r="AH249" i="4"/>
  <c r="AI27" i="4"/>
  <c r="AI28" i="4"/>
  <c r="AI29" i="4"/>
  <c r="AI30" i="4"/>
  <c r="AI31" i="4"/>
  <c r="AI32" i="4"/>
  <c r="AI33" i="4"/>
  <c r="AI34" i="4"/>
  <c r="AI35" i="4"/>
  <c r="AI36" i="4"/>
  <c r="AI37" i="4"/>
  <c r="AI38" i="4"/>
  <c r="AI39" i="4"/>
  <c r="AI40" i="4"/>
  <c r="AI41" i="4"/>
  <c r="AI42" i="4"/>
  <c r="AI43" i="4"/>
  <c r="AI44" i="4"/>
  <c r="AI45" i="4"/>
  <c r="AI46" i="4"/>
  <c r="AI47" i="4"/>
  <c r="AI48" i="4"/>
  <c r="AI49" i="4"/>
  <c r="AI50" i="4"/>
  <c r="AI51" i="4"/>
  <c r="AI52" i="4"/>
  <c r="AI53" i="4"/>
  <c r="AI54" i="4"/>
  <c r="AI55" i="4"/>
  <c r="AI56" i="4"/>
  <c r="AI57" i="4"/>
  <c r="AI58" i="4"/>
  <c r="AI59" i="4"/>
  <c r="AI60" i="4"/>
  <c r="AI61" i="4"/>
  <c r="AI62" i="4"/>
  <c r="AI63" i="4"/>
  <c r="AI64" i="4"/>
  <c r="AI65" i="4"/>
  <c r="AI66" i="4"/>
  <c r="AI67" i="4"/>
  <c r="AI68" i="4"/>
  <c r="AI69" i="4"/>
  <c r="AI70" i="4"/>
  <c r="AI71" i="4"/>
  <c r="AI72" i="4"/>
  <c r="AI73" i="4"/>
  <c r="AI74" i="4"/>
  <c r="AI75" i="4"/>
  <c r="AI76" i="4"/>
  <c r="AI77" i="4"/>
  <c r="AI78" i="4"/>
  <c r="AI79" i="4"/>
  <c r="AI80" i="4"/>
  <c r="AI81" i="4"/>
  <c r="AI82" i="4"/>
  <c r="AI83" i="4"/>
  <c r="AI84" i="4"/>
  <c r="AI85" i="4"/>
  <c r="AI86" i="4"/>
  <c r="AI87" i="4"/>
  <c r="AI88" i="4"/>
  <c r="AI89" i="4"/>
  <c r="AI90" i="4"/>
  <c r="AI91" i="4"/>
  <c r="AI92" i="4"/>
  <c r="AI93" i="4"/>
  <c r="AI94" i="4"/>
  <c r="AI95" i="4"/>
  <c r="AI96" i="4"/>
  <c r="AI97" i="4"/>
  <c r="AI98" i="4"/>
  <c r="AI99" i="4"/>
  <c r="AI100" i="4"/>
  <c r="AI101" i="4"/>
  <c r="AI102" i="4"/>
  <c r="AI103" i="4"/>
  <c r="AI104" i="4"/>
  <c r="AI105" i="4"/>
  <c r="AI106" i="4"/>
  <c r="AI107" i="4"/>
  <c r="AI108" i="4"/>
  <c r="AI109" i="4"/>
  <c r="AI110" i="4"/>
  <c r="AI111" i="4"/>
  <c r="AI112" i="4"/>
  <c r="AI113" i="4"/>
  <c r="AI114" i="4"/>
  <c r="AI115" i="4"/>
  <c r="AI116" i="4"/>
  <c r="AI117" i="4"/>
  <c r="AI118" i="4"/>
  <c r="AI119" i="4"/>
  <c r="AI120" i="4"/>
  <c r="AI121" i="4"/>
  <c r="AI122" i="4"/>
  <c r="AI123" i="4"/>
  <c r="AI124" i="4"/>
  <c r="AI125" i="4"/>
  <c r="AI126" i="4"/>
  <c r="AI127" i="4"/>
  <c r="AI128" i="4"/>
  <c r="AI129" i="4"/>
  <c r="AI130" i="4"/>
  <c r="AI131" i="4"/>
  <c r="AI132" i="4"/>
  <c r="AI133" i="4"/>
  <c r="AI134" i="4"/>
  <c r="AI135" i="4"/>
  <c r="AI136" i="4"/>
  <c r="AI137" i="4"/>
  <c r="AI138" i="4"/>
  <c r="AI139" i="4"/>
  <c r="AI140" i="4"/>
  <c r="AI141" i="4"/>
  <c r="AI142" i="4"/>
  <c r="AI143" i="4"/>
  <c r="AI144" i="4"/>
  <c r="AI145" i="4"/>
  <c r="AI146" i="4"/>
  <c r="AI147" i="4"/>
  <c r="AI148" i="4"/>
  <c r="AI149" i="4"/>
  <c r="AI150" i="4"/>
  <c r="AI151" i="4"/>
  <c r="AI152" i="4"/>
  <c r="AI153" i="4"/>
  <c r="AI154" i="4"/>
  <c r="AI155" i="4"/>
  <c r="AI156" i="4"/>
  <c r="AI157" i="4"/>
  <c r="AI158" i="4"/>
  <c r="AI159" i="4"/>
  <c r="AI160" i="4"/>
  <c r="AI161" i="4"/>
  <c r="AI162" i="4"/>
  <c r="AI163" i="4"/>
  <c r="AI164" i="4"/>
  <c r="AI165" i="4"/>
  <c r="AI166" i="4"/>
  <c r="AI167" i="4"/>
  <c r="AI168" i="4"/>
  <c r="AI169" i="4"/>
  <c r="AI170" i="4"/>
  <c r="AI171" i="4"/>
  <c r="AI172" i="4"/>
  <c r="AI173" i="4"/>
  <c r="AI174" i="4"/>
  <c r="AI175" i="4"/>
  <c r="AI176" i="4"/>
  <c r="AI177" i="4"/>
  <c r="AI178" i="4"/>
  <c r="AI179" i="4"/>
  <c r="AI180" i="4"/>
  <c r="AI181" i="4"/>
  <c r="AI182" i="4"/>
  <c r="AI183" i="4"/>
  <c r="AI184" i="4"/>
  <c r="AI185" i="4"/>
  <c r="AI186" i="4"/>
  <c r="AI187" i="4"/>
  <c r="AI188" i="4"/>
  <c r="AI189" i="4"/>
  <c r="AI190" i="4"/>
  <c r="AI191" i="4"/>
  <c r="AI192" i="4"/>
  <c r="AI193" i="4"/>
  <c r="AI194" i="4"/>
  <c r="AI195" i="4"/>
  <c r="AI196" i="4"/>
  <c r="AI197" i="4"/>
  <c r="AI198" i="4"/>
  <c r="AI199" i="4"/>
  <c r="AI200" i="4"/>
  <c r="AI201" i="4"/>
  <c r="AI202" i="4"/>
  <c r="AI203" i="4"/>
  <c r="AI204" i="4"/>
  <c r="AI205" i="4"/>
  <c r="AI206" i="4"/>
  <c r="AI207" i="4"/>
  <c r="AI208" i="4"/>
  <c r="AI209" i="4"/>
  <c r="AI210" i="4"/>
  <c r="AI211" i="4"/>
  <c r="AI212" i="4"/>
  <c r="AI213" i="4"/>
  <c r="AI214" i="4"/>
  <c r="AI215" i="4"/>
  <c r="AI216" i="4"/>
  <c r="AI217" i="4"/>
  <c r="AI218" i="4"/>
  <c r="AI219" i="4"/>
  <c r="AI220" i="4"/>
  <c r="AI221" i="4"/>
  <c r="AI222" i="4"/>
  <c r="AI223" i="4"/>
  <c r="AI224" i="4"/>
  <c r="AI225" i="4"/>
  <c r="AI226" i="4"/>
  <c r="AI227" i="4"/>
  <c r="AI228" i="4"/>
  <c r="AI229" i="4"/>
  <c r="AI230" i="4"/>
  <c r="AI231" i="4"/>
  <c r="AI232" i="4"/>
  <c r="AI233" i="4"/>
  <c r="AI234" i="4"/>
  <c r="AI235" i="4"/>
  <c r="AI236" i="4"/>
  <c r="AI237" i="4"/>
  <c r="AI238" i="4"/>
  <c r="AI239" i="4"/>
  <c r="AI240" i="4"/>
  <c r="AI241" i="4"/>
  <c r="AI242" i="4"/>
  <c r="AI243" i="4"/>
  <c r="AI244" i="4"/>
  <c r="AI245" i="4"/>
  <c r="AI246" i="4"/>
  <c r="AI247" i="4"/>
  <c r="AI248" i="4"/>
  <c r="AI249" i="4"/>
  <c r="AI250" i="4"/>
  <c r="AI251" i="4"/>
  <c r="AG138" i="4" l="1"/>
  <c r="AH147" i="4"/>
  <c r="AG210" i="4"/>
  <c r="AG163" i="4"/>
  <c r="AH146" i="4"/>
  <c r="AG73" i="4"/>
  <c r="AH218" i="4"/>
  <c r="AH88" i="4"/>
  <c r="AG236" i="4"/>
  <c r="AG235" i="4"/>
  <c r="AH86" i="4"/>
  <c r="AG234" i="4"/>
  <c r="AG54" i="4"/>
  <c r="AG108" i="4"/>
  <c r="AH84" i="4"/>
  <c r="AG186" i="4"/>
  <c r="AH247" i="4"/>
  <c r="AH202" i="4"/>
  <c r="AG94" i="4"/>
  <c r="AG156" i="4"/>
  <c r="AG79" i="4"/>
  <c r="AG48" i="4"/>
  <c r="AH227" i="4"/>
  <c r="AG127" i="4"/>
  <c r="AG78" i="4"/>
  <c r="AH190" i="4"/>
  <c r="AH155" i="4"/>
  <c r="AH95" i="4"/>
  <c r="AH119" i="4"/>
  <c r="AH71" i="4"/>
  <c r="AH118" i="4"/>
  <c r="AH70" i="4"/>
  <c r="AG142" i="4"/>
  <c r="AH35" i="4"/>
  <c r="AG47" i="4"/>
  <c r="AH178" i="4"/>
  <c r="AH140" i="4"/>
  <c r="AH34" i="4"/>
  <c r="AG116" i="4"/>
  <c r="AH106" i="4"/>
  <c r="AG115" i="4"/>
  <c r="AH104" i="4"/>
  <c r="AH83" i="4"/>
  <c r="AG154" i="4"/>
  <c r="AG114" i="4"/>
  <c r="AH166" i="4"/>
  <c r="AG223" i="4"/>
  <c r="AG153" i="4"/>
  <c r="AG152" i="4"/>
  <c r="AG66" i="4"/>
  <c r="AH250" i="4"/>
  <c r="AH51" i="4"/>
  <c r="AH207" i="4"/>
  <c r="AH123" i="4"/>
  <c r="AH230" i="4"/>
  <c r="AH201" i="4"/>
  <c r="AH145" i="4"/>
  <c r="AH109" i="4"/>
  <c r="AH62" i="4"/>
  <c r="AG168" i="4"/>
  <c r="AG121" i="4"/>
  <c r="AG107" i="4"/>
  <c r="AG93" i="4"/>
  <c r="AG57" i="4"/>
  <c r="AH229" i="4"/>
  <c r="AH164" i="4"/>
  <c r="AG56" i="4"/>
  <c r="AH159" i="4"/>
  <c r="AH75" i="4"/>
  <c r="AH60" i="4"/>
  <c r="AH39" i="4"/>
  <c r="AG105" i="4"/>
  <c r="AG55" i="4"/>
  <c r="AG36" i="4"/>
  <c r="AG69" i="4"/>
  <c r="AH241" i="4"/>
  <c r="AH141" i="4"/>
  <c r="AG117" i="4"/>
  <c r="AH225" i="4"/>
  <c r="AH177" i="4"/>
  <c r="AG98" i="4"/>
  <c r="AH204" i="4"/>
  <c r="AG96" i="4"/>
  <c r="AH205" i="4"/>
  <c r="AH203" i="4"/>
  <c r="AH92" i="4"/>
  <c r="AG197" i="4"/>
  <c r="AH233" i="4"/>
  <c r="AG185" i="4"/>
  <c r="AG209" i="4"/>
  <c r="AG128" i="4"/>
  <c r="AH65" i="4"/>
  <c r="AG65" i="4"/>
  <c r="AH41" i="4"/>
  <c r="AG41" i="4"/>
  <c r="AH76" i="4"/>
  <c r="AG76" i="4"/>
  <c r="AH52" i="4"/>
  <c r="AG52" i="4"/>
  <c r="AH28" i="4"/>
  <c r="AG28" i="4"/>
  <c r="AH160" i="4"/>
  <c r="AH200" i="4"/>
  <c r="AH173" i="4"/>
  <c r="AH172" i="4"/>
  <c r="AH111" i="4"/>
  <c r="AG162" i="4"/>
  <c r="AG91" i="4"/>
  <c r="AH149" i="4"/>
  <c r="AG149" i="4"/>
  <c r="AH53" i="4"/>
  <c r="AG53" i="4"/>
  <c r="AH29" i="4"/>
  <c r="AG29" i="4"/>
  <c r="AH64" i="4"/>
  <c r="AG64" i="4"/>
  <c r="AH40" i="4"/>
  <c r="AG40" i="4"/>
  <c r="AH183" i="4"/>
  <c r="AH124" i="4"/>
  <c r="AG43" i="4"/>
  <c r="E4" i="6"/>
  <c r="E5" i="6"/>
  <c r="F5" i="6"/>
  <c r="G5" i="6"/>
  <c r="H5" i="6"/>
  <c r="E6" i="6"/>
  <c r="F6" i="6"/>
  <c r="G6" i="6"/>
  <c r="H6" i="6"/>
  <c r="E7" i="6"/>
  <c r="F7" i="6"/>
  <c r="G7" i="6"/>
  <c r="H7" i="6"/>
  <c r="E8" i="6"/>
  <c r="F8" i="6"/>
  <c r="G8" i="6"/>
  <c r="H8" i="6"/>
  <c r="E9" i="6"/>
  <c r="F9" i="6"/>
  <c r="G9" i="6"/>
  <c r="H9" i="6"/>
  <c r="E10" i="6"/>
  <c r="F10" i="6"/>
  <c r="G10" i="6"/>
  <c r="H10" i="6"/>
  <c r="H4" i="6"/>
  <c r="G4" i="6"/>
  <c r="F4" i="6"/>
  <c r="B50" i="6"/>
  <c r="B49" i="6"/>
  <c r="B48" i="6"/>
  <c r="B31" i="6"/>
  <c r="B32" i="6"/>
  <c r="B33" i="6"/>
  <c r="B34" i="6"/>
  <c r="B35" i="6"/>
  <c r="B36" i="6"/>
  <c r="B37" i="6"/>
  <c r="B38" i="6"/>
  <c r="B39" i="6"/>
  <c r="B40" i="6"/>
  <c r="B41" i="6"/>
  <c r="B30" i="6"/>
  <c r="B26" i="6"/>
  <c r="B27" i="6"/>
  <c r="B25" i="6"/>
  <c r="B21" i="6"/>
  <c r="B22" i="6"/>
  <c r="B20" i="6"/>
  <c r="B7" i="6"/>
  <c r="B6" i="6"/>
  <c r="B5" i="6"/>
  <c r="C7" i="5"/>
  <c r="D7" i="5" s="1"/>
  <c r="C6" i="5"/>
  <c r="D6" i="5" s="1"/>
  <c r="C4" i="5"/>
  <c r="D4" i="5" s="1"/>
  <c r="C5" i="5"/>
  <c r="D5" i="5" s="1"/>
  <c r="C3" i="5"/>
  <c r="D3" i="5" s="1"/>
  <c r="C2" i="5"/>
  <c r="D2" i="5" s="1"/>
  <c r="AL5" i="4"/>
  <c r="AL3" i="4"/>
  <c r="AL7" i="4"/>
  <c r="AL6" i="4"/>
  <c r="AL4" i="4"/>
  <c r="AI3" i="4"/>
  <c r="AI4" i="4"/>
  <c r="AI5" i="4"/>
  <c r="AI6" i="4"/>
  <c r="AI7" i="4"/>
  <c r="AI8" i="4"/>
  <c r="AI9" i="4"/>
  <c r="AI10" i="4"/>
  <c r="AI11" i="4"/>
  <c r="AI12" i="4"/>
  <c r="AI13" i="4"/>
  <c r="AI14" i="4"/>
  <c r="AI15" i="4"/>
  <c r="AI16" i="4"/>
  <c r="AI17" i="4"/>
  <c r="AI18" i="4"/>
  <c r="AI19" i="4"/>
  <c r="AI20" i="4"/>
  <c r="AI21" i="4"/>
  <c r="AI22" i="4"/>
  <c r="AI23" i="4"/>
  <c r="AI24" i="4"/>
  <c r="AI25" i="4"/>
  <c r="AI26" i="4"/>
  <c r="AI2" i="4"/>
  <c r="AH10" i="4"/>
  <c r="AH14" i="4"/>
  <c r="AH17" i="4"/>
  <c r="AG5" i="4"/>
  <c r="AG8" i="4"/>
  <c r="AE3" i="4"/>
  <c r="AE4" i="4"/>
  <c r="AE5" i="4"/>
  <c r="AE6" i="4"/>
  <c r="AE7" i="4"/>
  <c r="AE8" i="4"/>
  <c r="AE9" i="4"/>
  <c r="AE10" i="4"/>
  <c r="AE11" i="4"/>
  <c r="AE12" i="4"/>
  <c r="AE13" i="4"/>
  <c r="AE14" i="4"/>
  <c r="AE15" i="4"/>
  <c r="AE16" i="4"/>
  <c r="AE17" i="4"/>
  <c r="AE18" i="4"/>
  <c r="AE19" i="4"/>
  <c r="AE20" i="4"/>
  <c r="AE21" i="4"/>
  <c r="AE22" i="4"/>
  <c r="AE23" i="4"/>
  <c r="AE24" i="4"/>
  <c r="AE25" i="4"/>
  <c r="AE26" i="4"/>
  <c r="AE2" i="4"/>
  <c r="AD3" i="4"/>
  <c r="AD4" i="4"/>
  <c r="AD5" i="4"/>
  <c r="AD6" i="4"/>
  <c r="AD7" i="4"/>
  <c r="AD8" i="4"/>
  <c r="AD9" i="4"/>
  <c r="AD10" i="4"/>
  <c r="AD11" i="4"/>
  <c r="AD12" i="4"/>
  <c r="AD13" i="4"/>
  <c r="AD14" i="4"/>
  <c r="AD15" i="4"/>
  <c r="AD16" i="4"/>
  <c r="AD17" i="4"/>
  <c r="AD18" i="4"/>
  <c r="AD19" i="4"/>
  <c r="AD20" i="4"/>
  <c r="AD21" i="4"/>
  <c r="AD22" i="4"/>
  <c r="AD23" i="4"/>
  <c r="AD24" i="4"/>
  <c r="AD25" i="4"/>
  <c r="AD26" i="4"/>
  <c r="AD2" i="4"/>
  <c r="AC3" i="4"/>
  <c r="AC4" i="4"/>
  <c r="AC5" i="4"/>
  <c r="AC6" i="4"/>
  <c r="AC7" i="4"/>
  <c r="AC8" i="4"/>
  <c r="AC9" i="4"/>
  <c r="AC10" i="4"/>
  <c r="AC11" i="4"/>
  <c r="AC12" i="4"/>
  <c r="AC13" i="4"/>
  <c r="AC14" i="4"/>
  <c r="AC15" i="4"/>
  <c r="AC16" i="4"/>
  <c r="AC17" i="4"/>
  <c r="AC18" i="4"/>
  <c r="AC19" i="4"/>
  <c r="AC20" i="4"/>
  <c r="AC21" i="4"/>
  <c r="AC22" i="4"/>
  <c r="AC23" i="4"/>
  <c r="AC24" i="4"/>
  <c r="AC25" i="4"/>
  <c r="AC26" i="4"/>
  <c r="AC2" i="4"/>
  <c r="AB3" i="4"/>
  <c r="AG3" i="4" s="1"/>
  <c r="AB4" i="4"/>
  <c r="AH4" i="4" s="1"/>
  <c r="AB5" i="4"/>
  <c r="AH5" i="4" s="1"/>
  <c r="AB6" i="4"/>
  <c r="AG6" i="4" s="1"/>
  <c r="AB7" i="4"/>
  <c r="AH7" i="4" s="1"/>
  <c r="AB8" i="4"/>
  <c r="AH8" i="4" s="1"/>
  <c r="AB9" i="4"/>
  <c r="AH9" i="4" s="1"/>
  <c r="AB10" i="4"/>
  <c r="AG10" i="4" s="1"/>
  <c r="AB11" i="4"/>
  <c r="AH11" i="4" s="1"/>
  <c r="AB12" i="4"/>
  <c r="AH12" i="4" s="1"/>
  <c r="AB13" i="4"/>
  <c r="AG13" i="4" s="1"/>
  <c r="AB14" i="4"/>
  <c r="AG14" i="4" s="1"/>
  <c r="AB15" i="4"/>
  <c r="AH15" i="4" s="1"/>
  <c r="AB16" i="4"/>
  <c r="AH16" i="4" s="1"/>
  <c r="AB17" i="4"/>
  <c r="AG17" i="4" s="1"/>
  <c r="AB18" i="4"/>
  <c r="AH18" i="4" s="1"/>
  <c r="AB19" i="4"/>
  <c r="AH19" i="4" s="1"/>
  <c r="AB20" i="4"/>
  <c r="AG20" i="4" s="1"/>
  <c r="AB21" i="4"/>
  <c r="AG21" i="4" s="1"/>
  <c r="AB22" i="4"/>
  <c r="AG22" i="4" s="1"/>
  <c r="AB23" i="4"/>
  <c r="AG23" i="4" s="1"/>
  <c r="AB24" i="4"/>
  <c r="AH24" i="4" s="1"/>
  <c r="AB25" i="4"/>
  <c r="AG25" i="4" s="1"/>
  <c r="AB26" i="4"/>
  <c r="AH26" i="4" s="1"/>
  <c r="AB2" i="4"/>
  <c r="AA14" i="4"/>
  <c r="AA26" i="4"/>
  <c r="Z3" i="4"/>
  <c r="AA3" i="4" s="1"/>
  <c r="Z4" i="4"/>
  <c r="AA4" i="4" s="1"/>
  <c r="Z5" i="4"/>
  <c r="AA5" i="4" s="1"/>
  <c r="Z6" i="4"/>
  <c r="AA6" i="4" s="1"/>
  <c r="Z7" i="4"/>
  <c r="AA7" i="4" s="1"/>
  <c r="Z8" i="4"/>
  <c r="AA8" i="4" s="1"/>
  <c r="Z9" i="4"/>
  <c r="AA9" i="4" s="1"/>
  <c r="Z10" i="4"/>
  <c r="AA10" i="4" s="1"/>
  <c r="Z11" i="4"/>
  <c r="AA11" i="4" s="1"/>
  <c r="Z12" i="4"/>
  <c r="AA12" i="4" s="1"/>
  <c r="Z13" i="4"/>
  <c r="AA13" i="4" s="1"/>
  <c r="Z14" i="4"/>
  <c r="Z15" i="4"/>
  <c r="AA15" i="4" s="1"/>
  <c r="Z16" i="4"/>
  <c r="AA16" i="4" s="1"/>
  <c r="Z17" i="4"/>
  <c r="AA17" i="4" s="1"/>
  <c r="Z18" i="4"/>
  <c r="AA18" i="4" s="1"/>
  <c r="Z19" i="4"/>
  <c r="AA19" i="4" s="1"/>
  <c r="Z20" i="4"/>
  <c r="AA20" i="4" s="1"/>
  <c r="Z21" i="4"/>
  <c r="AA21" i="4" s="1"/>
  <c r="Z22" i="4"/>
  <c r="AA22" i="4" s="1"/>
  <c r="Z23" i="4"/>
  <c r="AA23" i="4" s="1"/>
  <c r="Z24" i="4"/>
  <c r="AA24" i="4" s="1"/>
  <c r="Z25" i="4"/>
  <c r="AA25" i="4" s="1"/>
  <c r="Z26" i="4"/>
  <c r="Z2" i="4"/>
  <c r="I9" i="6" l="1"/>
  <c r="I8" i="6"/>
  <c r="AH2" i="4"/>
  <c r="C8" i="5"/>
  <c r="D8" i="5" s="1"/>
  <c r="AL8" i="4"/>
  <c r="AL2" i="4"/>
  <c r="AG24" i="4"/>
  <c r="AG18" i="4"/>
  <c r="C9" i="5"/>
  <c r="D9" i="5" s="1"/>
  <c r="AG12" i="4"/>
  <c r="I5" i="6"/>
  <c r="B14" i="6"/>
  <c r="B44" i="6" s="1"/>
  <c r="B8" i="6"/>
  <c r="B15" i="6"/>
  <c r="B45" i="6" s="1"/>
  <c r="B17" i="6"/>
  <c r="B47" i="6" s="1"/>
  <c r="I4" i="6"/>
  <c r="B16" i="6"/>
  <c r="B46" i="6" s="1"/>
  <c r="I10" i="6"/>
  <c r="I7" i="6"/>
  <c r="AH22" i="4"/>
  <c r="B10" i="6"/>
  <c r="AH6" i="4"/>
  <c r="B13" i="6"/>
  <c r="AA2" i="4"/>
  <c r="AH3" i="4"/>
  <c r="AH23" i="4"/>
  <c r="AH13" i="4"/>
  <c r="AG11" i="4"/>
  <c r="AH21" i="4"/>
  <c r="AG9" i="4"/>
  <c r="AH25" i="4"/>
  <c r="AG19" i="4"/>
  <c r="AG7" i="4"/>
  <c r="AH20" i="4"/>
  <c r="AG16" i="4"/>
  <c r="AG4" i="4"/>
  <c r="AG15" i="4"/>
  <c r="AG26" i="4"/>
  <c r="AG2" i="4"/>
  <c r="C10" i="5" l="1"/>
  <c r="D10" i="5" s="1"/>
  <c r="AL9" i="4"/>
  <c r="C11" i="5"/>
  <c r="D11" i="5" s="1"/>
  <c r="AL10" i="4"/>
  <c r="C12" i="5"/>
  <c r="D12" i="5" s="1"/>
  <c r="AL11" i="4"/>
  <c r="E15" i="6"/>
  <c r="E14" i="6"/>
  <c r="B11" i="6"/>
  <c r="B9" i="6"/>
  <c r="I6" i="6"/>
  <c r="B12" i="6"/>
</calcChain>
</file>

<file path=xl/sharedStrings.xml><?xml version="1.0" encoding="utf-8"?>
<sst xmlns="http://schemas.openxmlformats.org/spreadsheetml/2006/main" count="11367" uniqueCount="1241">
  <si>
    <t>Provider Name</t>
  </si>
  <si>
    <t>Practice Name</t>
  </si>
  <si>
    <t>Individual NPI</t>
  </si>
  <si>
    <t>Group NPI</t>
  </si>
  <si>
    <t>Credentialed NPI</t>
  </si>
  <si>
    <t>Enrolled NPI</t>
  </si>
  <si>
    <t>Tax ID</t>
  </si>
  <si>
    <t>Payer Name</t>
  </si>
  <si>
    <t>Payer ID</t>
  </si>
  <si>
    <t>Payer Type</t>
  </si>
  <si>
    <t>ERA Enrollment Status</t>
  </si>
  <si>
    <t>Submitted Date</t>
  </si>
  <si>
    <t>Current Status</t>
  </si>
  <si>
    <t>Assigned Owner</t>
  </si>
  <si>
    <t>Follow-up Date</t>
  </si>
  <si>
    <t>Notes</t>
  </si>
  <si>
    <t>River Valley Family Care</t>
  </si>
  <si>
    <t>IND-NPI-1001</t>
  </si>
  <si>
    <t>IND-NPI-1002</t>
  </si>
  <si>
    <t>IND-NPI-1003</t>
  </si>
  <si>
    <t>IND-NPI-1004</t>
  </si>
  <si>
    <t>IND-NPI-1005</t>
  </si>
  <si>
    <t>IND-NPI-1006</t>
  </si>
  <si>
    <t>IND-NPI-1007</t>
  </si>
  <si>
    <t>IND-NPI-1008</t>
  </si>
  <si>
    <t>IND-NPI-1009</t>
  </si>
  <si>
    <t>IND-NPI-1010</t>
  </si>
  <si>
    <t>IND-NPI-1011</t>
  </si>
  <si>
    <t>IND-NPI-1012</t>
  </si>
  <si>
    <t>IND-NPI-1013</t>
  </si>
  <si>
    <t>IND-NPI-1014</t>
  </si>
  <si>
    <t>IND-NPI-1015</t>
  </si>
  <si>
    <t>IND-NPI-1016</t>
  </si>
  <si>
    <t>IND-NPI-1017</t>
  </si>
  <si>
    <t>IND-NPI-1018</t>
  </si>
  <si>
    <t>IND-NPI-1019</t>
  </si>
  <si>
    <t>IND-NPI-1020</t>
  </si>
  <si>
    <t>IND-NPI-1021</t>
  </si>
  <si>
    <t>IND-NPI-1022</t>
  </si>
  <si>
    <t>IND-NPI-1023</t>
  </si>
  <si>
    <t>IND-NPI-1024</t>
  </si>
  <si>
    <t>GRP-NPI-9001</t>
  </si>
  <si>
    <t>SYN-TIN-001</t>
  </si>
  <si>
    <t>Medicare</t>
  </si>
  <si>
    <t>Government</t>
  </si>
  <si>
    <t>Claims and ERA</t>
  </si>
  <si>
    <t>Completed</t>
  </si>
  <si>
    <t>Approved</t>
  </si>
  <si>
    <t>Yes</t>
  </si>
  <si>
    <t>Ready</t>
  </si>
  <si>
    <t>No Blocker</t>
  </si>
  <si>
    <t>Blue Cross</t>
  </si>
  <si>
    <t>BCBS01</t>
  </si>
  <si>
    <t>Commercial</t>
  </si>
  <si>
    <t>NA</t>
  </si>
  <si>
    <t>Claims</t>
  </si>
  <si>
    <t>Pending</t>
  </si>
  <si>
    <t>Not Started</t>
  </si>
  <si>
    <t>No</t>
  </si>
  <si>
    <t>Northside Pediatrics</t>
  </si>
  <si>
    <t>Greenway Internal Medicine</t>
  </si>
  <si>
    <t>Lakeside Women Health</t>
  </si>
  <si>
    <t>Hillcrest Orthopedics</t>
  </si>
  <si>
    <t>Cedar Grove Clinic</t>
  </si>
  <si>
    <t>Oak Street Primary Care</t>
  </si>
  <si>
    <t>Westbrook Dermatology</t>
  </si>
  <si>
    <t>Summit Eye Care</t>
  </si>
  <si>
    <t>Pine Ridge Family Clinic</t>
  </si>
  <si>
    <t>Silverline Neurology</t>
  </si>
  <si>
    <t>Maple Leaf Urgent Care</t>
  </si>
  <si>
    <t>Blue Harbor ENT</t>
  </si>
  <si>
    <t>Valley View Gastro</t>
  </si>
  <si>
    <t>Riverside Behavioral Health</t>
  </si>
  <si>
    <t>Sunrise Family Medicine</t>
  </si>
  <si>
    <t>Metro Spine Center</t>
  </si>
  <si>
    <t>Parkside Oncology</t>
  </si>
  <si>
    <t>Eastwood Pulmonary</t>
  </si>
  <si>
    <t>Coral Springs Primary Care</t>
  </si>
  <si>
    <t>Grand Oak Surgery Center</t>
  </si>
  <si>
    <t>Willow Creek Pediatrics</t>
  </si>
  <si>
    <t>Dr. Vivek Nair</t>
  </si>
  <si>
    <t>Dr. Alan Brooks</t>
  </si>
  <si>
    <t>Dr. Farah Ahmed</t>
  </si>
  <si>
    <t>GRP-NPI-9002</t>
  </si>
  <si>
    <t>GRP-NPI-9003</t>
  </si>
  <si>
    <t>GRP-NPI-9004</t>
  </si>
  <si>
    <t>GRP-NPI-9005</t>
  </si>
  <si>
    <t>GRP-NPI-9006</t>
  </si>
  <si>
    <t>GRP-NPI-9007</t>
  </si>
  <si>
    <t>GRP-NPI-9008</t>
  </si>
  <si>
    <t>GRP-NPI-9009</t>
  </si>
  <si>
    <t>GRP-NPI-9010</t>
  </si>
  <si>
    <t>GRP-NPI-9011</t>
  </si>
  <si>
    <t>GRP-NPI-9012</t>
  </si>
  <si>
    <t>GRP-NPI-9013</t>
  </si>
  <si>
    <t>GRP-NPI-9014</t>
  </si>
  <si>
    <t>GRP-NPI-9015</t>
  </si>
  <si>
    <t>GRP-NPI-9016</t>
  </si>
  <si>
    <t>GRP-NPI-9017</t>
  </si>
  <si>
    <t>GRP-NPI-9018</t>
  </si>
  <si>
    <t>GRP-NPI-9019</t>
  </si>
  <si>
    <t>GRP-NPI-9020</t>
  </si>
  <si>
    <t>GRP-NPI-9021</t>
  </si>
  <si>
    <t>GRP-NPI-9022</t>
  </si>
  <si>
    <t>GRP-NPI-9023</t>
  </si>
  <si>
    <t>GRP-NPI-9024</t>
  </si>
  <si>
    <t>SYN-TIN-002</t>
  </si>
  <si>
    <t>SYN-TIN-003</t>
  </si>
  <si>
    <t>SYN-TIN-004</t>
  </si>
  <si>
    <t>SYN-TIN-005</t>
  </si>
  <si>
    <t>SYN-TIN-006</t>
  </si>
  <si>
    <t>SYN-TIN-007</t>
  </si>
  <si>
    <t>SYN-TIN-008</t>
  </si>
  <si>
    <t>SYN-TIN-009</t>
  </si>
  <si>
    <t>SYN-TIN-010</t>
  </si>
  <si>
    <t>SYN-TIN-011</t>
  </si>
  <si>
    <t>SYN-TIN-012</t>
  </si>
  <si>
    <t>SYN-TIN-013</t>
  </si>
  <si>
    <t>SYN-TIN-014</t>
  </si>
  <si>
    <t>SYN-TIN-015</t>
  </si>
  <si>
    <t>SYN-TIN-016</t>
  </si>
  <si>
    <t>SYN-TIN-017</t>
  </si>
  <si>
    <t>SYN-TIN-018</t>
  </si>
  <si>
    <t>SYN-TIN-019</t>
  </si>
  <si>
    <t>SYN-TIN-020</t>
  </si>
  <si>
    <t>SYN-TIN-021</t>
  </si>
  <si>
    <t>SYN-TIN-022</t>
  </si>
  <si>
    <t>SYN-TIN-023</t>
  </si>
  <si>
    <t>SYN-TIN-024</t>
  </si>
  <si>
    <t>Medicaid</t>
  </si>
  <si>
    <t>Aetna</t>
  </si>
  <si>
    <t>Cigna</t>
  </si>
  <si>
    <t>Humana</t>
  </si>
  <si>
    <t>PTAN-OLD</t>
  </si>
  <si>
    <t>MCD002</t>
  </si>
  <si>
    <t>PTAN-WRONG</t>
  </si>
  <si>
    <t>ERA</t>
  </si>
  <si>
    <t>In Progress</t>
  </si>
  <si>
    <t>Rejected</t>
  </si>
  <si>
    <t>Not Required</t>
  </si>
  <si>
    <t>Issue Found</t>
  </si>
  <si>
    <t>Blocked</t>
  </si>
  <si>
    <t>Individual NPI used instead of Group NPI</t>
  </si>
  <si>
    <t>Clearinghouse portal not updated</t>
  </si>
  <si>
    <t>Credentialed NPI mismatch</t>
  </si>
  <si>
    <t>Incorrect PTAN/Provider number</t>
  </si>
  <si>
    <t>Old Payer ID used</t>
  </si>
  <si>
    <t>Credentialing not completed</t>
  </si>
  <si>
    <t>Missing payer approval</t>
  </si>
  <si>
    <t>ERA Setup not completed</t>
  </si>
  <si>
    <t>Wrong Payer ID</t>
  </si>
  <si>
    <t>Medicare additional enrollment missing</t>
  </si>
  <si>
    <t>KPI Name</t>
  </si>
  <si>
    <t>Definition</t>
  </si>
  <si>
    <t>Why It Matters</t>
  </si>
  <si>
    <t>Total Enrollment Records</t>
  </si>
  <si>
    <t>Count of all enrollment/setup records</t>
  </si>
  <si>
    <t>Shows total workload</t>
  </si>
  <si>
    <t>Ready Count</t>
  </si>
  <si>
    <t>Count of records with Current Status = Ready</t>
  </si>
  <si>
    <t>Shows practices/payers ready for transactions</t>
  </si>
  <si>
    <t>Pending Count</t>
  </si>
  <si>
    <t>Count of records with Current Status = Pending</t>
  </si>
  <si>
    <t>Shows open items still in progress</t>
  </si>
  <si>
    <t>Blocked Count</t>
  </si>
  <si>
    <t>Count of records with Current Status = Blocked</t>
  </si>
  <si>
    <t>Shows items requiring action</t>
  </si>
  <si>
    <t>Claims Approved Count</t>
  </si>
  <si>
    <t>Count of records with Claims Enrollment Status = Approved</t>
  </si>
  <si>
    <t>Shows claims readiness</t>
  </si>
  <si>
    <t>ERA Approved Count</t>
  </si>
  <si>
    <t>Count of records with ERA Enrollment Status = Approved</t>
  </si>
  <si>
    <t>Shows ERA readiness</t>
  </si>
  <si>
    <t>Clearinghouse Completed Count</t>
  </si>
  <si>
    <t>Count of records with Clearinghouse Configuration Status = Completed</t>
  </si>
  <si>
    <t>Shows configuration readiness</t>
  </si>
  <si>
    <t>NPI Mismatch Count</t>
  </si>
  <si>
    <t>Count of records with NPI-related blocker reasons</t>
  </si>
  <si>
    <t>Tracks provider identifier issues</t>
  </si>
  <si>
    <t>PTAN Issue Count</t>
  </si>
  <si>
    <t>Count of records with incorrect PTAN/provider number</t>
  </si>
  <si>
    <t>Tracks Medicare/Medicaid provider number issues</t>
  </si>
  <si>
    <t>Payer ID Issue Count</t>
  </si>
  <si>
    <t>Count of records with wrong or old payer ID</t>
  </si>
  <si>
    <t>Tracks payer routing problems</t>
  </si>
  <si>
    <t>Clearinghouse Portal Gap Count</t>
  </si>
  <si>
    <t>Count of records where portal update is missing</t>
  </si>
  <si>
    <t>Tracks clearinghouse setup gaps</t>
  </si>
  <si>
    <t xml:space="preserve">Dashboard Snapshot date </t>
  </si>
  <si>
    <t>Aging Days</t>
  </si>
  <si>
    <t>SLA Status</t>
  </si>
  <si>
    <t>NPI Match Status</t>
  </si>
  <si>
    <t>Provider Identifier Issue Flag</t>
  </si>
  <si>
    <t>Payer Routing issue Flag</t>
  </si>
  <si>
    <t>Clearinghouse gap Flag</t>
  </si>
  <si>
    <t>Government Payer Issue Flag</t>
  </si>
  <si>
    <t>Claims Ready Flag</t>
  </si>
  <si>
    <t>Records Over 21 Days</t>
  </si>
  <si>
    <t>Total Records</t>
  </si>
  <si>
    <t>Blank Record IDs</t>
  </si>
  <si>
    <t>Blank Payer Names</t>
  </si>
  <si>
    <t>Blank Practice Name</t>
  </si>
  <si>
    <t>Blank Submitted Dates</t>
  </si>
  <si>
    <t>Invalid Current Status</t>
  </si>
  <si>
    <t>Npi Mismatch Record</t>
  </si>
  <si>
    <t>Records over 21 days</t>
  </si>
  <si>
    <t>SLA Breach count</t>
  </si>
  <si>
    <t>claims ready count</t>
  </si>
  <si>
    <t xml:space="preserve">ERA ready count </t>
  </si>
  <si>
    <t>ERA Ready Flag</t>
  </si>
  <si>
    <t>Check Name</t>
  </si>
  <si>
    <t>Expected Result</t>
  </si>
  <si>
    <t>Actual Result</t>
  </si>
  <si>
    <t>Check Status</t>
  </si>
  <si>
    <t>Blank Record Ids</t>
  </si>
  <si>
    <t>Blank Practice Names</t>
  </si>
  <si>
    <t>SLA Breached Records</t>
  </si>
  <si>
    <t>Row Labels</t>
  </si>
  <si>
    <t>Grand Total</t>
  </si>
  <si>
    <t>Column Labels</t>
  </si>
  <si>
    <t>Provider/Payer EDI Enrollment Readiness - Summary Metrics</t>
  </si>
  <si>
    <t>KPI</t>
  </si>
  <si>
    <t>Value</t>
  </si>
  <si>
    <t>Action Required Count</t>
  </si>
  <si>
    <t>SLA Breached Count</t>
  </si>
  <si>
    <t>Average Aging Days</t>
  </si>
  <si>
    <t>Claims Ready Count</t>
  </si>
  <si>
    <t>ERA Ready Records</t>
  </si>
  <si>
    <t>NPI Mismatch Records</t>
  </si>
  <si>
    <t>Provider Identifier Issue Count</t>
  </si>
  <si>
    <t>Payer Routing Issue Count</t>
  </si>
  <si>
    <t>Clearinghouse Gap Count</t>
  </si>
  <si>
    <t>Government Payer Issue Count</t>
  </si>
  <si>
    <t>ERA Ready Count</t>
  </si>
  <si>
    <t>Count</t>
  </si>
  <si>
    <t>Enrollment Type</t>
  </si>
  <si>
    <t>Blocker Reason</t>
  </si>
  <si>
    <t>Issue Category</t>
  </si>
  <si>
    <t xml:space="preserve">Provider Identifier Issue </t>
  </si>
  <si>
    <t xml:space="preserve">Payer Routing Issue </t>
  </si>
  <si>
    <t xml:space="preserve">Clearinghouse Gap </t>
  </si>
  <si>
    <t>Government Payer Issue</t>
  </si>
  <si>
    <t>Credentialing issue</t>
  </si>
  <si>
    <t>Payer Approval pending</t>
  </si>
  <si>
    <t>ERA setup issue</t>
  </si>
  <si>
    <t>SLA Breached</t>
  </si>
  <si>
    <t>Blocker Reason Summary</t>
  </si>
  <si>
    <t>Current Status Summary</t>
  </si>
  <si>
    <t>Payer by current status</t>
  </si>
  <si>
    <t>SLA Status By Payer</t>
  </si>
  <si>
    <t>Assigned Owner Workload</t>
  </si>
  <si>
    <t>Assignee</t>
  </si>
  <si>
    <t>Current Satus</t>
  </si>
  <si>
    <t>Action Required Flag</t>
  </si>
  <si>
    <t>Enrollment Type By Current Status</t>
  </si>
  <si>
    <t>Claims Ready Vs ERA Ready</t>
  </si>
  <si>
    <t>Claims status</t>
  </si>
  <si>
    <t>ERA Status</t>
  </si>
  <si>
    <t>ERA Ready</t>
  </si>
  <si>
    <t>Readiness Type</t>
  </si>
  <si>
    <t>Claims Ready</t>
  </si>
  <si>
    <t xml:space="preserve">ERA Ready </t>
  </si>
  <si>
    <t>Action Required</t>
  </si>
  <si>
    <t>Provider/Payer EDI Enrollment Readiness Dashboard - Insights &amp; Recommendations</t>
  </si>
  <si>
    <t>Business Problem</t>
  </si>
  <si>
    <t>Healthcare practices need to be properly configured for electronic claims submission and ERA receipt through the preferred clearinghouse. However, claims and remittance workflows can be delayed or blocked when credentialing, payer enrollment, NPI setup, PTAN/provider number, payer ID, or clearinghouse configuration details are incomplete or incorrect.</t>
  </si>
  <si>
    <t>Dashboard Puropse</t>
  </si>
  <si>
    <t>The purpose of this dashboard is to monitor provider/payer EDI enrollment readiness across claims enrollment, ERA enrollment, credentialing alignment, payer setup, NPI/PTAN validation, and clearinghouse configuration.</t>
  </si>
  <si>
    <t>The dashboard is designed to help enrollment, EDI, revenue-cycle, and operations teams quickly answer:</t>
  </si>
  <si>
    <t>1. How many records are ready, pending, or blocked?</t>
  </si>
  <si>
    <t>2. How many records require action?</t>
  </si>
  <si>
    <t>3. Which records have breached the 21-day SLA?</t>
  </si>
  <si>
    <t>4. What are the top enrollment/configuration blockers?</t>
  </si>
  <si>
    <t>5. Which payers have the highest blocked record count?</t>
  </si>
  <si>
    <t>6. Are more records ready for claims submission or ERA receipt?</t>
  </si>
  <si>
    <t>7. Which owners have the highest action-required workload?</t>
  </si>
  <si>
    <t>Business Meaning</t>
  </si>
  <si>
    <t>Total enrollment/configuration records reviewed</t>
  </si>
  <si>
    <t>Records ready for claims and/or ERA transaction flow</t>
  </si>
  <si>
    <t>Records still in progress</t>
  </si>
  <si>
    <t>Records stopped by a blocker or issue</t>
  </si>
  <si>
    <t>Records that need follow-up or correction</t>
  </si>
  <si>
    <t>Records older than the 21-day SLA</t>
  </si>
  <si>
    <t>Records ready for electronic claims submission</t>
  </si>
  <si>
    <t>Records ready for electronic remittance receipt</t>
  </si>
  <si>
    <t>#</t>
  </si>
  <si>
    <t>Insight</t>
  </si>
  <si>
    <t>Evidence</t>
  </si>
  <si>
    <t>Business Impact</t>
  </si>
  <si>
    <t>Most records require follow-up action.</t>
  </si>
  <si>
    <t>Enrollment teams need to prioritize open blockers before claims or ERA workflows can be considered fully ready.</t>
  </si>
  <si>
    <t>Aging risk is significant.</t>
  </si>
  <si>
    <t>Delayed enrollment/configuration work can lead to claims submission delays, ERA delays, and downstream revenue-cycle issues.</t>
  </si>
  <si>
    <t>These issues should be targeted first because they are the most frequent root causes.</t>
  </si>
  <si>
    <t>These payers may require closer monitoring, follow-up, or payer-specific checklist validation.</t>
  </si>
  <si>
    <t>Claims readiness is higher than ERA readiness.</t>
  </si>
  <si>
    <t>ERA setup may require additional follow-up to reduce manual remittance/payment posting risk.</t>
  </si>
  <si>
    <t>Recommendation</t>
  </si>
  <si>
    <t>Reason</t>
  </si>
  <si>
    <t>Validate credentialed NPI against enrolled NPI before submitting claims or ERA enrollment.</t>
  </si>
  <si>
    <t>Add a clearinghouse portal update checkpoint before marking a record ready.</t>
  </si>
  <si>
    <t>Clearinghouse portal gaps are one of the top blockers.</t>
  </si>
  <si>
    <t>Create a Medicare/Medicaid checklist for PTAN, provider number, and additional enrollment requirements.</t>
  </si>
  <si>
    <t>Government payer records often require additional setup beyond credentialing.</t>
  </si>
  <si>
    <t>Review SLA-breached records weekly.</t>
  </si>
  <si>
    <t>Track claims readiness and ERA readiness separately.</t>
  </si>
  <si>
    <t>A record may be claims-ready but not ERA-ready, which can still create downstream remittance issues.</t>
  </si>
  <si>
    <t>Assumptions:</t>
  </si>
  <si>
    <t>1. This project uses synthetic data only.</t>
  </si>
  <si>
    <t>2. One row represents one practice/provider/payer/enrollment setup record.</t>
  </si>
  <si>
    <t>3. A 21-day SLA was assumed for identifying aging risk.</t>
  </si>
  <si>
    <t>4. “No blocker” records are considered ready or not requiring action.</t>
  </si>
  <si>
    <t>5. Action-required analysis excludes records marked “No blocker.”</t>
  </si>
  <si>
    <t>6. Claims readiness and ERA readiness are evaluated separately because a record may be ready for one workflow but not the other.</t>
  </si>
  <si>
    <t>How would I explain this project?</t>
  </si>
  <si>
    <t>I built a Provider/Payer EDI Enrollment Readiness Dashboard to analyze whether practices/providers are ready for electronic claims submission and ERA receipt through a preferred clearinghouse.
The dataset tracks credentialing status, claims enrollment, ERA enrollment, clearinghouse configuration, NPI alignment, PTAN/provider number issues, payer ID issues, current status, SLA aging, and blocker reasons.
I created calculated fields for aging days, SLA status, NPI match status, provider identifier issue flags, payer routing issue flags, clearinghouse gap flags, government payer issue flags, claims readiness, ERA readiness, and action-required status.
The dashboard highlights overall readiness, blocked and pending records, SLA breaches, top blockers, payer-level blocked counts, claims vs ERA readiness, and owner workload.
The main insight is that most records require action, with clearinghouse portal gaps and NPI-related issues being the most common blockers. Based on this, I recommended stronger NPI validation, clearinghouse update checkpoints, Medicare/Medicaid enrollment checklists, and weekly review of SLA-breached records.</t>
  </si>
  <si>
    <t>Portfolio Summary</t>
  </si>
  <si>
    <t>Tools used: Excel, Excel Tables, formulas, PivotTables, PivotCharts, KPI cards, and dashboard design.</t>
  </si>
  <si>
    <t>Record ID</t>
  </si>
  <si>
    <t>PTAN / Provider Number</t>
  </si>
  <si>
    <t>Credentialing Status</t>
  </si>
  <si>
    <t>Claims Enrollment Status</t>
  </si>
  <si>
    <t>Clearinghouse Portal Updated</t>
  </si>
  <si>
    <t>Clearinghouse Configuration Status</t>
  </si>
  <si>
    <t>Approved Date</t>
  </si>
  <si>
    <t>ENR-0001</t>
  </si>
  <si>
    <t>Dr. Rohan Menon</t>
  </si>
  <si>
    <t>MCD-OLD</t>
  </si>
  <si>
    <t>PTAN-0001</t>
  </si>
  <si>
    <t>Wrong payer ID</t>
  </si>
  <si>
    <t>nt92346</t>
  </si>
  <si>
    <t>Incorrect payer ID was used for enrollment or routing.</t>
  </si>
  <si>
    <t>ENR-0002</t>
  </si>
  <si>
    <t>Dr. Lily Scott</t>
  </si>
  <si>
    <t>GRP-NPI-9039</t>
  </si>
  <si>
    <t>SYN-TIN-036</t>
  </si>
  <si>
    <t>WRONG-MED</t>
  </si>
  <si>
    <t>PTAN-0002</t>
  </si>
  <si>
    <t>ew53009</t>
  </si>
  <si>
    <t>ENR-0003</t>
  </si>
  <si>
    <t>Liberty Primary Care</t>
  </si>
  <si>
    <t>Dr. Asha Singh</t>
  </si>
  <si>
    <t>CIG001</t>
  </si>
  <si>
    <t>Clearinghouse route or portal setup needs update before go-live.</t>
  </si>
  <si>
    <t>ENR-0004</t>
  </si>
  <si>
    <t>Dr. Emily Gray</t>
  </si>
  <si>
    <t>United Healthcare</t>
  </si>
  <si>
    <t>UHC001</t>
  </si>
  <si>
    <t>No blocker</t>
  </si>
  <si>
    <t>rc48215</t>
  </si>
  <si>
    <t>Record is ready for expected transaction flow.</t>
  </si>
  <si>
    <t>ENR-0005</t>
  </si>
  <si>
    <t>Dr. Grace Das</t>
  </si>
  <si>
    <t>GRP-NPI-9041</t>
  </si>
  <si>
    <t>ENR-0006</t>
  </si>
  <si>
    <t>Dr. Lily Singh</t>
  </si>
  <si>
    <t>SYN-TIN-047</t>
  </si>
  <si>
    <t>MED001</t>
  </si>
  <si>
    <t>PTAN-0006</t>
  </si>
  <si>
    <t>Waiting on payer approval or payer response.</t>
  </si>
  <si>
    <t>ENR-0007</t>
  </si>
  <si>
    <t>BrightCare Cardiology</t>
  </si>
  <si>
    <t>Dr. Elena Gray</t>
  </si>
  <si>
    <t>SYN-TIN-032</t>
  </si>
  <si>
    <t>ERA setup not completed</t>
  </si>
  <si>
    <t>nt00234</t>
  </si>
  <si>
    <t>ERA enrollment or routing is not fully completed.</t>
  </si>
  <si>
    <t>ENR-0008</t>
  </si>
  <si>
    <t>Dr. Aria Kapoor</t>
  </si>
  <si>
    <t>ENR-0009</t>
  </si>
  <si>
    <t>Dr. Kevin Kapoor</t>
  </si>
  <si>
    <t>SYN-TIN-051</t>
  </si>
  <si>
    <t>PTAN-0009</t>
  </si>
  <si>
    <t>Medicare requires additional enrollment after credentialing.</t>
  </si>
  <si>
    <t>ENR-0010</t>
  </si>
  <si>
    <t>Stonebridge Family Medicine</t>
  </si>
  <si>
    <t>Dr. Aria Wilson</t>
  </si>
  <si>
    <t>Incorrect PTAN/provider number</t>
  </si>
  <si>
    <t>PTAN or government payer provider number needs correction.</t>
  </si>
  <si>
    <t>ENR-0011</t>
  </si>
  <si>
    <t>Dr. Sara Scott</t>
  </si>
  <si>
    <t>GRP-NPI-9032</t>
  </si>
  <si>
    <t>SYN-TIN-055</t>
  </si>
  <si>
    <t>PTAN-0011</t>
  </si>
  <si>
    <t>ENR-0012</t>
  </si>
  <si>
    <t>Dr. Mark Kapoor</t>
  </si>
  <si>
    <t>GRP-NPI-9025</t>
  </si>
  <si>
    <t>GRP-NPI-9136</t>
  </si>
  <si>
    <t>SYN-TIN-035</t>
  </si>
  <si>
    <t>Enrolled NPI does not match the payer-credentialed NPI.</t>
  </si>
  <si>
    <t>ENR-0013</t>
  </si>
  <si>
    <t>Clearwater Pulmonary</t>
  </si>
  <si>
    <t>Dr. Meera Shah</t>
  </si>
  <si>
    <t>AET001</t>
  </si>
  <si>
    <t>ENR-0014</t>
  </si>
  <si>
    <t>Harborview Pediatrics</t>
  </si>
  <si>
    <t>Dr. Farah Das</t>
  </si>
  <si>
    <t>SYN-TIN-042</t>
  </si>
  <si>
    <t>ENR-0015</t>
  </si>
  <si>
    <t>Dr. Neha Shah</t>
  </si>
  <si>
    <t>SYN-TIN-063</t>
  </si>
  <si>
    <t>HUM001</t>
  </si>
  <si>
    <t>ENR-0016</t>
  </si>
  <si>
    <t>Evergreen Urology</t>
  </si>
  <si>
    <t>Dr. Mark Singh</t>
  </si>
  <si>
    <t>GRP-NPI-9035</t>
  </si>
  <si>
    <t>Credentialing must be completed before enrollment can proceed.</t>
  </si>
  <si>
    <t>ENR-0017</t>
  </si>
  <si>
    <t>Dr. Samir Singh</t>
  </si>
  <si>
    <t>GRP-NPI-9045</t>
  </si>
  <si>
    <t>SYN-TIN-058</t>
  </si>
  <si>
    <t>PTAN-0017</t>
  </si>
  <si>
    <t>Individual NPI used instead of group NPI</t>
  </si>
  <si>
    <t>Enrollment was submitted under individual NPI instead of group billing NPI.</t>
  </si>
  <si>
    <t>ENR-0018</t>
  </si>
  <si>
    <t>Dr. Sanjay Patel</t>
  </si>
  <si>
    <t>GRP-NPI-9138</t>
  </si>
  <si>
    <t>ENR-0019</t>
  </si>
  <si>
    <t>Dr. Mark Nguyen</t>
  </si>
  <si>
    <t>SYN-TIN-028</t>
  </si>
  <si>
    <t>ENR-0020</t>
  </si>
  <si>
    <t>Dr. Sara Torres</t>
  </si>
  <si>
    <t>GRP-NPI-9037</t>
  </si>
  <si>
    <t>SYN-TIN-056</t>
  </si>
  <si>
    <t>WRONG-UHC</t>
  </si>
  <si>
    <t>ENR-0021</t>
  </si>
  <si>
    <t>Dr. Ethan Ali</t>
  </si>
  <si>
    <t>GRP-NPI-9030</t>
  </si>
  <si>
    <t>SYN-TIN-044</t>
  </si>
  <si>
    <t>ENR-0022</t>
  </si>
  <si>
    <t>Dr. Emily Patel</t>
  </si>
  <si>
    <t>PTAN-0022</t>
  </si>
  <si>
    <t>ENR-0023</t>
  </si>
  <si>
    <t>Dr. Ivy Shah</t>
  </si>
  <si>
    <t>CIG-OLD</t>
  </si>
  <si>
    <t>Old payer ID used</t>
  </si>
  <si>
    <t>Outdated payer ID needs to be replaced with current payer ID.</t>
  </si>
  <si>
    <t>ENR-0024</t>
  </si>
  <si>
    <t>Dr. Omar Carter</t>
  </si>
  <si>
    <t>GRP-NPI-9026</t>
  </si>
  <si>
    <t>PTAN-0024</t>
  </si>
  <si>
    <t>k19731</t>
  </si>
  <si>
    <t>ENR-0025</t>
  </si>
  <si>
    <t>Dr. Ivy Joshi</t>
  </si>
  <si>
    <t>IND-NPI-1025</t>
  </si>
  <si>
    <t>PTAN-0025</t>
  </si>
  <si>
    <t>ENR-0026</t>
  </si>
  <si>
    <t>Dr. Kevin Rao</t>
  </si>
  <si>
    <t>IND-NPI-1026</t>
  </si>
  <si>
    <t>ENR-0027</t>
  </si>
  <si>
    <t>Dr. Thomas Lee</t>
  </si>
  <si>
    <t>IND-NPI-1027</t>
  </si>
  <si>
    <t>PTAN-0027</t>
  </si>
  <si>
    <t>ENR-0028</t>
  </si>
  <si>
    <t>Dr. Vivek Ali</t>
  </si>
  <si>
    <t>IND-NPI-1028</t>
  </si>
  <si>
    <t>GRP-NPI-9043</t>
  </si>
  <si>
    <t>SYN-TIN-031</t>
  </si>
  <si>
    <t>ENR-0029</t>
  </si>
  <si>
    <t>Dr. Noah Wilson</t>
  </si>
  <si>
    <t>IND-NPI-1029</t>
  </si>
  <si>
    <t>ENR-0030</t>
  </si>
  <si>
    <t>Dr. Samir Chen</t>
  </si>
  <si>
    <t>IND-NPI-1030</t>
  </si>
  <si>
    <t>GRP-NPI-9033</t>
  </si>
  <si>
    <t>SYN-TIN-037</t>
  </si>
  <si>
    <t>ENR-0031</t>
  </si>
  <si>
    <t>Dr. Leah Das</t>
  </si>
  <si>
    <t>IND-NPI-1031</t>
  </si>
  <si>
    <t>SYN-TIN-039</t>
  </si>
  <si>
    <t>ENR-0032</t>
  </si>
  <si>
    <t>Canyon Ridge Clinic</t>
  </si>
  <si>
    <t>Dr. Emily Nguyen</t>
  </si>
  <si>
    <t>IND-NPI-1032</t>
  </si>
  <si>
    <t>SYN-TIN-027</t>
  </si>
  <si>
    <t>ENR-0033</t>
  </si>
  <si>
    <t>Dr. Meera Chen</t>
  </si>
  <si>
    <t>IND-NPI-1033</t>
  </si>
  <si>
    <t>GRP-NPI-9044</t>
  </si>
  <si>
    <t>ENR-0034</t>
  </si>
  <si>
    <t>Dr. Aditya Rao</t>
  </si>
  <si>
    <t>IND-NPI-1034</t>
  </si>
  <si>
    <t>ENR-0035</t>
  </si>
  <si>
    <t>Dr. Asha Shah</t>
  </si>
  <si>
    <t>IND-NPI-1035</t>
  </si>
  <si>
    <t>GRP-NPI-9124</t>
  </si>
  <si>
    <t>ENR-0036</t>
  </si>
  <si>
    <t>Dr. Elena Nguyen</t>
  </si>
  <si>
    <t>IND-NPI-1036</t>
  </si>
  <si>
    <t>ENR-0037</t>
  </si>
  <si>
    <t>Dr. Sanjay Carter</t>
  </si>
  <si>
    <t>IND-NPI-1037</t>
  </si>
  <si>
    <t>SYN-TIN-053</t>
  </si>
  <si>
    <t>ENR-0038</t>
  </si>
  <si>
    <t>Dr. Sanjay Khan</t>
  </si>
  <si>
    <t>IND-NPI-1038</t>
  </si>
  <si>
    <t>SYN-TIN-026</t>
  </si>
  <si>
    <t>ENR-0039</t>
  </si>
  <si>
    <t>Dr. Aria Gray</t>
  </si>
  <si>
    <t>IND-NPI-1039</t>
  </si>
  <si>
    <t>SYN-TIN-043</t>
  </si>
  <si>
    <t>ENR-0040</t>
  </si>
  <si>
    <t>IND-NPI-1040</t>
  </si>
  <si>
    <t>ENR-0041</t>
  </si>
  <si>
    <t>Dr. Hannah Nair</t>
  </si>
  <si>
    <t>IND-NPI-1041</t>
  </si>
  <si>
    <t>GRP-NPI-9038</t>
  </si>
  <si>
    <t>GRP-NPI-9123</t>
  </si>
  <si>
    <t>ENR-0042</t>
  </si>
  <si>
    <t>Dr. Elias Chen</t>
  </si>
  <si>
    <t>IND-NPI-1042</t>
  </si>
  <si>
    <t>PTAN-0042</t>
  </si>
  <si>
    <t>ENR-0043</t>
  </si>
  <si>
    <t>Southview Endocrinology</t>
  </si>
  <si>
    <t>Dr. Mark Joshi</t>
  </si>
  <si>
    <t>IND-NPI-1043</t>
  </si>
  <si>
    <t>ENR-0044</t>
  </si>
  <si>
    <t>Dr. Grace Rao</t>
  </si>
  <si>
    <t>IND-NPI-1044</t>
  </si>
  <si>
    <t>PTAN-0044</t>
  </si>
  <si>
    <t>Medicaid additional enrollment missing</t>
  </si>
  <si>
    <t>Medicaid requires additional enrollment after credentialing.</t>
  </si>
  <si>
    <t>ENR-0045</t>
  </si>
  <si>
    <t>Dr. Ivy Das</t>
  </si>
  <si>
    <t>IND-NPI-1045</t>
  </si>
  <si>
    <t>SYN-TIN-057</t>
  </si>
  <si>
    <t>ENR-0046</t>
  </si>
  <si>
    <t>Dr. Omar Scott</t>
  </si>
  <si>
    <t>IND-NPI-1046</t>
  </si>
  <si>
    <t>GRP-NPI-9031</t>
  </si>
  <si>
    <t>HUM-OLD</t>
  </si>
  <si>
    <t>ENR-0047</t>
  </si>
  <si>
    <t>Dr. Sanjay Joshi</t>
  </si>
  <si>
    <t>IND-NPI-1047</t>
  </si>
  <si>
    <t>PTAN-0047</t>
  </si>
  <si>
    <t>ENR-0048</t>
  </si>
  <si>
    <t>Dr. Mina Nguyen</t>
  </si>
  <si>
    <t>IND-NPI-1048</t>
  </si>
  <si>
    <t>ENR-0049</t>
  </si>
  <si>
    <t>Dr. Asha Nguyen</t>
  </si>
  <si>
    <t>IND-NPI-1049</t>
  </si>
  <si>
    <t>ENR-0050</t>
  </si>
  <si>
    <t>Dr. Sara Rivera</t>
  </si>
  <si>
    <t>IND-NPI-1050</t>
  </si>
  <si>
    <t>GRP-NPI-9121</t>
  </si>
  <si>
    <t>ENR-0051</t>
  </si>
  <si>
    <t>Dr. Ivy Morgan</t>
  </si>
  <si>
    <t>IND-NPI-1051</t>
  </si>
  <si>
    <t>ENR-0052</t>
  </si>
  <si>
    <t>IND-NPI-1052</t>
  </si>
  <si>
    <t>GRP-NPI-9029</t>
  </si>
  <si>
    <t>PTAN-0052</t>
  </si>
  <si>
    <t>ENR-0053</t>
  </si>
  <si>
    <t>Dr. Lily Kapoor</t>
  </si>
  <si>
    <t>IND-NPI-1053</t>
  </si>
  <si>
    <t>SYN-TIN-054</t>
  </si>
  <si>
    <t>PTAN-0053</t>
  </si>
  <si>
    <t>ENR-0054</t>
  </si>
  <si>
    <t>Dr. Omar Das</t>
  </si>
  <si>
    <t>IND-NPI-1054</t>
  </si>
  <si>
    <t>GRP-NPI-9027</t>
  </si>
  <si>
    <t>GRP-NPI-9145</t>
  </si>
  <si>
    <t>SYN-TIN-062</t>
  </si>
  <si>
    <t>ENR-0055</t>
  </si>
  <si>
    <t>Dr. Nathan Brooks</t>
  </si>
  <si>
    <t>IND-NPI-1055</t>
  </si>
  <si>
    <t>ENR-0056</t>
  </si>
  <si>
    <t>Dr. Neha Kapoor</t>
  </si>
  <si>
    <t>IND-NPI-1056</t>
  </si>
  <si>
    <t>ENR-0057</t>
  </si>
  <si>
    <t>Dr. Noah Miller</t>
  </si>
  <si>
    <t>IND-NPI-1057</t>
  </si>
  <si>
    <t>ENR-0058</t>
  </si>
  <si>
    <t>Dr. Amara Iyer</t>
  </si>
  <si>
    <t>IND-NPI-1058</t>
  </si>
  <si>
    <t>WRONG-AET</t>
  </si>
  <si>
    <t>ENR-0059</t>
  </si>
  <si>
    <t>Dr. Neha Torres</t>
  </si>
  <si>
    <t>IND-NPI-1059</t>
  </si>
  <si>
    <t>PTAN-0059</t>
  </si>
  <si>
    <t>ENR-0060</t>
  </si>
  <si>
    <t>Dr. Isha Das</t>
  </si>
  <si>
    <t>IND-NPI-1060</t>
  </si>
  <si>
    <t>SYN-TIN-033</t>
  </si>
  <si>
    <t>ENR-0061</t>
  </si>
  <si>
    <t>Dr. Elena Nair</t>
  </si>
  <si>
    <t>IND-NPI-1061</t>
  </si>
  <si>
    <t>ENR-0062</t>
  </si>
  <si>
    <t>Dr. Farah Miller</t>
  </si>
  <si>
    <t>IND-NPI-1062</t>
  </si>
  <si>
    <t>ENR-0063</t>
  </si>
  <si>
    <t>Dr. Farah Carter</t>
  </si>
  <si>
    <t>IND-NPI-1063</t>
  </si>
  <si>
    <t>SYN-TIN-048</t>
  </si>
  <si>
    <t>UHC-OLD</t>
  </si>
  <si>
    <t>ENR-0064</t>
  </si>
  <si>
    <t>Dr. Owen Brown</t>
  </si>
  <si>
    <t>IND-NPI-1064</t>
  </si>
  <si>
    <t>SYN-TIN-059</t>
  </si>
  <si>
    <t>PTAN-0064</t>
  </si>
  <si>
    <t>ENR-0065</t>
  </si>
  <si>
    <t>Dr. Alan Ali</t>
  </si>
  <si>
    <t>IND-NPI-1065</t>
  </si>
  <si>
    <t>ENR-0066</t>
  </si>
  <si>
    <t>Dr. Zara Khan</t>
  </si>
  <si>
    <t>IND-NPI-1066</t>
  </si>
  <si>
    <t>SYN-TIN-060</t>
  </si>
  <si>
    <t>ENR-0067</t>
  </si>
  <si>
    <t>Dr. Mira Joshi</t>
  </si>
  <si>
    <t>IND-NPI-1067</t>
  </si>
  <si>
    <t>SYN-TIN-034</t>
  </si>
  <si>
    <t>OLD-BCBS</t>
  </si>
  <si>
    <t>ENR-0068</t>
  </si>
  <si>
    <t>Dr. Aditya Nguyen</t>
  </si>
  <si>
    <t>IND-NPI-1068</t>
  </si>
  <si>
    <t>GRP-NPI-9134</t>
  </si>
  <si>
    <t>ENR-0069</t>
  </si>
  <si>
    <t>Dr. Ivy Singh</t>
  </si>
  <si>
    <t>IND-NPI-1069</t>
  </si>
  <si>
    <t>SYN-TIN-038</t>
  </si>
  <si>
    <t>ENR-0070</t>
  </si>
  <si>
    <t>Dr. Noah Reed</t>
  </si>
  <si>
    <t>IND-NPI-1070</t>
  </si>
  <si>
    <t>ENR-0071</t>
  </si>
  <si>
    <t>Dr. Aria Khan</t>
  </si>
  <si>
    <t>IND-NPI-1071</t>
  </si>
  <si>
    <t>ENR-0072</t>
  </si>
  <si>
    <t>Dr. Omar Torres</t>
  </si>
  <si>
    <t>IND-NPI-1072</t>
  </si>
  <si>
    <t>ENR-0073</t>
  </si>
  <si>
    <t>Dr. Isha Brooks</t>
  </si>
  <si>
    <t>IND-NPI-1073</t>
  </si>
  <si>
    <t>ENR-0074</t>
  </si>
  <si>
    <t>Dr. Sara Brown</t>
  </si>
  <si>
    <t>IND-NPI-1074</t>
  </si>
  <si>
    <t>ENR-0075</t>
  </si>
  <si>
    <t>Dr. Hannah Carter</t>
  </si>
  <si>
    <t>IND-NPI-1075</t>
  </si>
  <si>
    <t>PTAN-0075</t>
  </si>
  <si>
    <t>ENR-0076</t>
  </si>
  <si>
    <t>Dr. Elias Brooks</t>
  </si>
  <si>
    <t>IND-NPI-1076</t>
  </si>
  <si>
    <t>PTAN-0076</t>
  </si>
  <si>
    <t>ENR-0077</t>
  </si>
  <si>
    <t>Dr. Zara Ali</t>
  </si>
  <si>
    <t>IND-NPI-1077</t>
  </si>
  <si>
    <t>GRP-NPI-9107</t>
  </si>
  <si>
    <t>ENR-0078</t>
  </si>
  <si>
    <t>IND-NPI-1078</t>
  </si>
  <si>
    <t>SYN-TIN-061</t>
  </si>
  <si>
    <t>PTAN-0078</t>
  </si>
  <si>
    <t>ENR-0079</t>
  </si>
  <si>
    <t>Dr. Daniel Patel</t>
  </si>
  <si>
    <t>IND-NPI-1079</t>
  </si>
  <si>
    <t>ENR-0080</t>
  </si>
  <si>
    <t>Dr. Zara Joshi</t>
  </si>
  <si>
    <t>IND-NPI-1080</t>
  </si>
  <si>
    <t>ENR-0081</t>
  </si>
  <si>
    <t>IND-NPI-1081</t>
  </si>
  <si>
    <t>ENR-0082</t>
  </si>
  <si>
    <t>Dr. Samir Mehta</t>
  </si>
  <si>
    <t>IND-NPI-1082</t>
  </si>
  <si>
    <t>PTAN-0082</t>
  </si>
  <si>
    <t>ENR-0083</t>
  </si>
  <si>
    <t>Dr. Lily Joshi</t>
  </si>
  <si>
    <t>IND-NPI-1083</t>
  </si>
  <si>
    <t>ENR-0084</t>
  </si>
  <si>
    <t>Dr. Nora Brown</t>
  </si>
  <si>
    <t>IND-NPI-1084</t>
  </si>
  <si>
    <t>GRP-NPI-9141</t>
  </si>
  <si>
    <t>SYN-TIN-045</t>
  </si>
  <si>
    <t>ENR-0085</t>
  </si>
  <si>
    <t>Dr. Meera Iyer</t>
  </si>
  <si>
    <t>IND-NPI-1085</t>
  </si>
  <si>
    <t>PTAN-0085</t>
  </si>
  <si>
    <t>ENR-0086</t>
  </si>
  <si>
    <t>Dr. Vivek Iyer</t>
  </si>
  <si>
    <t>IND-NPI-1086</t>
  </si>
  <si>
    <t>ENR-0087</t>
  </si>
  <si>
    <t>Dr. Nora Gray</t>
  </si>
  <si>
    <t>IND-NPI-1087</t>
  </si>
  <si>
    <t>GRP-NPI-9040</t>
  </si>
  <si>
    <t>ENR-0088</t>
  </si>
  <si>
    <t>Dr. Grace Morgan</t>
  </si>
  <si>
    <t>IND-NPI-1088</t>
  </si>
  <si>
    <t>SYN-TIN-040</t>
  </si>
  <si>
    <t>ENR-0089</t>
  </si>
  <si>
    <t>Dr. Asha Rao</t>
  </si>
  <si>
    <t>IND-NPI-1089</t>
  </si>
  <si>
    <t>PTAN-0089</t>
  </si>
  <si>
    <t>ENR-0090</t>
  </si>
  <si>
    <t>Dr. Grace Scott</t>
  </si>
  <si>
    <t>IND-NPI-1090</t>
  </si>
  <si>
    <t>ENR-0091</t>
  </si>
  <si>
    <t>Dr. Isha Bennett</t>
  </si>
  <si>
    <t>IND-NPI-1091</t>
  </si>
  <si>
    <t>SYN-TIN-065</t>
  </si>
  <si>
    <t>ENR-0092</t>
  </si>
  <si>
    <t>Dr. Asha Brooks</t>
  </si>
  <si>
    <t>IND-NPI-1092</t>
  </si>
  <si>
    <t>ENR-0093</t>
  </si>
  <si>
    <t>Dr. Meera Rao</t>
  </si>
  <si>
    <t>IND-NPI-1093</t>
  </si>
  <si>
    <t>SYN-TIN-050</t>
  </si>
  <si>
    <t>ENR-0094</t>
  </si>
  <si>
    <t>Dr. Mina Rao</t>
  </si>
  <si>
    <t>IND-NPI-1094</t>
  </si>
  <si>
    <t>SYN-TIN-064</t>
  </si>
  <si>
    <t>ENR-0095</t>
  </si>
  <si>
    <t>IND-NPI-1095</t>
  </si>
  <si>
    <t>ENR-0096</t>
  </si>
  <si>
    <t>IND-NPI-1096</t>
  </si>
  <si>
    <t>GRP-NPI-9042</t>
  </si>
  <si>
    <t>WRONG-MCD</t>
  </si>
  <si>
    <t>PTAN-0096</t>
  </si>
  <si>
    <t>ENR-0097</t>
  </si>
  <si>
    <t>Dr. Meera Carter</t>
  </si>
  <si>
    <t>IND-NPI-1097</t>
  </si>
  <si>
    <t>ENR-0098</t>
  </si>
  <si>
    <t>Dr. Grace Patel</t>
  </si>
  <si>
    <t>IND-NPI-1098</t>
  </si>
  <si>
    <t>AET-OLD</t>
  </si>
  <si>
    <t>ENR-0099</t>
  </si>
  <si>
    <t>Dr. Kevin Rivera</t>
  </si>
  <si>
    <t>IND-NPI-1099</t>
  </si>
  <si>
    <t>ENR-0100</t>
  </si>
  <si>
    <t>IND-NPI-1100</t>
  </si>
  <si>
    <t>SYN-TIN-030</t>
  </si>
  <si>
    <t>ENR-0101</t>
  </si>
  <si>
    <t>Dr. Hannah Morgan</t>
  </si>
  <si>
    <t>IND-NPI-1101</t>
  </si>
  <si>
    <t>WRONG-CIG</t>
  </si>
  <si>
    <t>ENR-0102</t>
  </si>
  <si>
    <t>Dr. Farah Brown</t>
  </si>
  <si>
    <t>IND-NPI-1102</t>
  </si>
  <si>
    <t>GRP-NPI-9028</t>
  </si>
  <si>
    <t>ENR-0103</t>
  </si>
  <si>
    <t>Dr. Elias Gray</t>
  </si>
  <si>
    <t>IND-NPI-1103</t>
  </si>
  <si>
    <t>ENR-0104</t>
  </si>
  <si>
    <t>Dr. Aiden Torres</t>
  </si>
  <si>
    <t>IND-NPI-1104</t>
  </si>
  <si>
    <t>SYN-TIN-029</t>
  </si>
  <si>
    <t>ENR-0105</t>
  </si>
  <si>
    <t>Dr. Isha Ahmed</t>
  </si>
  <si>
    <t>IND-NPI-1105</t>
  </si>
  <si>
    <t>ENR-0106</t>
  </si>
  <si>
    <t>Dr. Leah Rao</t>
  </si>
  <si>
    <t>IND-NPI-1106</t>
  </si>
  <si>
    <t>ENR-0107</t>
  </si>
  <si>
    <t>IND-NPI-1107</t>
  </si>
  <si>
    <t>ENR-0108</t>
  </si>
  <si>
    <t>Dr. Meera Rivera</t>
  </si>
  <si>
    <t>IND-NPI-1108</t>
  </si>
  <si>
    <t>ENR-0109</t>
  </si>
  <si>
    <t>Dr. Noah Menon</t>
  </si>
  <si>
    <t>IND-NPI-1109</t>
  </si>
  <si>
    <t>ENR-0110</t>
  </si>
  <si>
    <t>Dr. Lily Mehta</t>
  </si>
  <si>
    <t>IND-NPI-1110</t>
  </si>
  <si>
    <t>GRP-NPI-9140</t>
  </si>
  <si>
    <t>ENR-0111</t>
  </si>
  <si>
    <t>IND-NPI-1111</t>
  </si>
  <si>
    <t>PTAN-0111</t>
  </si>
  <si>
    <t>ENR-0112</t>
  </si>
  <si>
    <t>Dr. Samir Wilson</t>
  </si>
  <si>
    <t>IND-NPI-1112</t>
  </si>
  <si>
    <t>ENR-0113</t>
  </si>
  <si>
    <t>Dr. Mina Brown</t>
  </si>
  <si>
    <t>IND-NPI-1113</t>
  </si>
  <si>
    <t>ENR-0114</t>
  </si>
  <si>
    <t>Dr. Leah Patel</t>
  </si>
  <si>
    <t>IND-NPI-1114</t>
  </si>
  <si>
    <t>PTAN-0114</t>
  </si>
  <si>
    <t>ENR-0115</t>
  </si>
  <si>
    <t>Dr. Rohan Carter</t>
  </si>
  <si>
    <t>IND-NPI-1115</t>
  </si>
  <si>
    <t>PTAN-0115</t>
  </si>
  <si>
    <t>ENR-0116</t>
  </si>
  <si>
    <t>IND-NPI-1116</t>
  </si>
  <si>
    <t>ENR-0117</t>
  </si>
  <si>
    <t>Dr. Aiden Menon</t>
  </si>
  <si>
    <t>IND-NPI-1117</t>
  </si>
  <si>
    <t>ENR-0118</t>
  </si>
  <si>
    <t>Dr. Neha Wilson</t>
  </si>
  <si>
    <t>IND-NPI-1118</t>
  </si>
  <si>
    <t>ENR-0119</t>
  </si>
  <si>
    <t>Dr. Mina Scott</t>
  </si>
  <si>
    <t>IND-NPI-1119</t>
  </si>
  <si>
    <t>ENR-0120</t>
  </si>
  <si>
    <t>Dr. Owen Patel</t>
  </si>
  <si>
    <t>IND-NPI-1120</t>
  </si>
  <si>
    <t>PTAN-0120</t>
  </si>
  <si>
    <t>ENR-0121</t>
  </si>
  <si>
    <t>Dr. Lucas Carter</t>
  </si>
  <si>
    <t>IND-NPI-1121</t>
  </si>
  <si>
    <t>ENR-0122</t>
  </si>
  <si>
    <t>Dr. Alan Lee</t>
  </si>
  <si>
    <t>IND-NPI-1122</t>
  </si>
  <si>
    <t>ENR-0123</t>
  </si>
  <si>
    <t>Dr. Owen Ahmed</t>
  </si>
  <si>
    <t>IND-NPI-1123</t>
  </si>
  <si>
    <t>PTAN-0123</t>
  </si>
  <si>
    <t>ENR-0124</t>
  </si>
  <si>
    <t>IND-NPI-1124</t>
  </si>
  <si>
    <t>ENR-0125</t>
  </si>
  <si>
    <t>Dr. Vivek Das</t>
  </si>
  <si>
    <t>IND-NPI-1125</t>
  </si>
  <si>
    <t>PTAN-0125</t>
  </si>
  <si>
    <t>ENR-0126</t>
  </si>
  <si>
    <t>Dr. Rohan Ali</t>
  </si>
  <si>
    <t>IND-NPI-1126</t>
  </si>
  <si>
    <t>SYN-TIN-046</t>
  </si>
  <si>
    <t>ENR-0127</t>
  </si>
  <si>
    <t>Dr. Elias Scott</t>
  </si>
  <si>
    <t>IND-NPI-1127</t>
  </si>
  <si>
    <t>PTAN-0127</t>
  </si>
  <si>
    <t>ENR-0128</t>
  </si>
  <si>
    <t>Dr. Aditya Miller</t>
  </si>
  <si>
    <t>IND-NPI-1128</t>
  </si>
  <si>
    <t>ENR-0129</t>
  </si>
  <si>
    <t>Dr. Aditya Reed</t>
  </si>
  <si>
    <t>IND-NPI-1129</t>
  </si>
  <si>
    <t>ENR-0130</t>
  </si>
  <si>
    <t>Dr. Neha Lee</t>
  </si>
  <si>
    <t>IND-NPI-1130</t>
  </si>
  <si>
    <t>GRP-NPI-9034</t>
  </si>
  <si>
    <t>PTAN-0130</t>
  </si>
  <si>
    <t>ENR-0131</t>
  </si>
  <si>
    <t>Dr. Elias Ahmed</t>
  </si>
  <si>
    <t>IND-NPI-1131</t>
  </si>
  <si>
    <t>MED-OLD</t>
  </si>
  <si>
    <t>PTAN-0131</t>
  </si>
  <si>
    <t>ENR-0132</t>
  </si>
  <si>
    <t>Dr. Aiden Morgan</t>
  </si>
  <si>
    <t>IND-NPI-1132</t>
  </si>
  <si>
    <t>ENR-0133</t>
  </si>
  <si>
    <t>Dr. Zara Mehta</t>
  </si>
  <si>
    <t>IND-NPI-1133</t>
  </si>
  <si>
    <t>ENR-0134</t>
  </si>
  <si>
    <t>Dr. Sara Singh</t>
  </si>
  <si>
    <t>IND-NPI-1134</t>
  </si>
  <si>
    <t>ENR-0135</t>
  </si>
  <si>
    <t>IND-NPI-1135</t>
  </si>
  <si>
    <t>ENR-0136</t>
  </si>
  <si>
    <t>Dr. Mark Carter</t>
  </si>
  <si>
    <t>IND-NPI-1136</t>
  </si>
  <si>
    <t>SYN-TIN-052</t>
  </si>
  <si>
    <t>ENR-0137</t>
  </si>
  <si>
    <t>Dr. Kevin Nair</t>
  </si>
  <si>
    <t>IND-NPI-1137</t>
  </si>
  <si>
    <t>ENR-0138</t>
  </si>
  <si>
    <t>Dr. Zara Kapoor</t>
  </si>
  <si>
    <t>IND-NPI-1138</t>
  </si>
  <si>
    <t>PTAN-0138</t>
  </si>
  <si>
    <t>ENR-0139</t>
  </si>
  <si>
    <t>IND-NPI-1139</t>
  </si>
  <si>
    <t>ENR-0140</t>
  </si>
  <si>
    <t>Dr. Alan Khan</t>
  </si>
  <si>
    <t>IND-NPI-1140</t>
  </si>
  <si>
    <t>PTAN-0140</t>
  </si>
  <si>
    <t>ENR-0141</t>
  </si>
  <si>
    <t>Dr. Elias Singh</t>
  </si>
  <si>
    <t>IND-NPI-1141</t>
  </si>
  <si>
    <t>ENR-0142</t>
  </si>
  <si>
    <t>Dr. Mark Mehta</t>
  </si>
  <si>
    <t>IND-NPI-1142</t>
  </si>
  <si>
    <t>ENR-0143</t>
  </si>
  <si>
    <t>Dr. Aria Morgan</t>
  </si>
  <si>
    <t>IND-NPI-1143</t>
  </si>
  <si>
    <t>PTAN-0143</t>
  </si>
  <si>
    <t>ENR-0144</t>
  </si>
  <si>
    <t>Dr. Aria Miller</t>
  </si>
  <si>
    <t>IND-NPI-1144</t>
  </si>
  <si>
    <t>GRP-NPI-9036</t>
  </si>
  <si>
    <t>ENR-0145</t>
  </si>
  <si>
    <t>Dr. Priya Morgan</t>
  </si>
  <si>
    <t>IND-NPI-1145</t>
  </si>
  <si>
    <t>ENR-0146</t>
  </si>
  <si>
    <t>Dr. Leah Morgan</t>
  </si>
  <si>
    <t>IND-NPI-1146</t>
  </si>
  <si>
    <t>ENR-0147</t>
  </si>
  <si>
    <t>Dr. Aiden Rao</t>
  </si>
  <si>
    <t>IND-NPI-1147</t>
  </si>
  <si>
    <t>ENR-0148</t>
  </si>
  <si>
    <t>Dr. Vivek Miller</t>
  </si>
  <si>
    <t>IND-NPI-1148</t>
  </si>
  <si>
    <t>PTAN-0148</t>
  </si>
  <si>
    <t>ENR-0149</t>
  </si>
  <si>
    <t>Dr. Ivy Kapoor</t>
  </si>
  <si>
    <t>IND-NPI-1149</t>
  </si>
  <si>
    <t>ENR-0150</t>
  </si>
  <si>
    <t>Dr. Elena Brooks</t>
  </si>
  <si>
    <t>IND-NPI-1150</t>
  </si>
  <si>
    <t>PTAN-0150</t>
  </si>
  <si>
    <t>ENR-0151</t>
  </si>
  <si>
    <t>Dr. Emily Scott</t>
  </si>
  <si>
    <t>IND-NPI-1151</t>
  </si>
  <si>
    <t>GRP-NPI-9143</t>
  </si>
  <si>
    <t>SYN-TIN-049</t>
  </si>
  <si>
    <t>ENR-0152</t>
  </si>
  <si>
    <t>Dr. Kavya Nair</t>
  </si>
  <si>
    <t>IND-NPI-1152</t>
  </si>
  <si>
    <t>ENR-0153</t>
  </si>
  <si>
    <t>Dr. Sanjay Morgan</t>
  </si>
  <si>
    <t>IND-NPI-1153</t>
  </si>
  <si>
    <t>ENR-0154</t>
  </si>
  <si>
    <t>Dr. Isha Gray</t>
  </si>
  <si>
    <t>IND-NPI-1154</t>
  </si>
  <si>
    <t>ENR-0155</t>
  </si>
  <si>
    <t>Dr. Isha Rivera</t>
  </si>
  <si>
    <t>IND-NPI-1155</t>
  </si>
  <si>
    <t>PTAN-0155</t>
  </si>
  <si>
    <t>ENR-0156</t>
  </si>
  <si>
    <t>Dr. Vivek Singh</t>
  </si>
  <si>
    <t>IND-NPI-1156</t>
  </si>
  <si>
    <t>ENR-0157</t>
  </si>
  <si>
    <t>Dr. Nathan Bennett</t>
  </si>
  <si>
    <t>IND-NPI-1157</t>
  </si>
  <si>
    <t>ENR-0158</t>
  </si>
  <si>
    <t>Dr. Neha Iyer</t>
  </si>
  <si>
    <t>IND-NPI-1158</t>
  </si>
  <si>
    <t>ENR-0159</t>
  </si>
  <si>
    <t>Dr. Lucas Reed</t>
  </si>
  <si>
    <t>IND-NPI-1159</t>
  </si>
  <si>
    <t>ENR-0160</t>
  </si>
  <si>
    <t>Dr. Alan Rao</t>
  </si>
  <si>
    <t>IND-NPI-1160</t>
  </si>
  <si>
    <t>ENR-0161</t>
  </si>
  <si>
    <t>Dr. Mira Morgan</t>
  </si>
  <si>
    <t>IND-NPI-1161</t>
  </si>
  <si>
    <t>GRP-NPI-9135</t>
  </si>
  <si>
    <t>PTAN-0161</t>
  </si>
  <si>
    <t>ENR-0162</t>
  </si>
  <si>
    <t>IND-NPI-1162</t>
  </si>
  <si>
    <t>PTAN-0162</t>
  </si>
  <si>
    <t>ENR-0163</t>
  </si>
  <si>
    <t>Dr. Nora Rao</t>
  </si>
  <si>
    <t>IND-NPI-1163</t>
  </si>
  <si>
    <t>GRP-NPI-9125</t>
  </si>
  <si>
    <t>ENR-0164</t>
  </si>
  <si>
    <t>Dr. Neha Gray</t>
  </si>
  <si>
    <t>IND-NPI-1164</t>
  </si>
  <si>
    <t>ENR-0165</t>
  </si>
  <si>
    <t>Dr. Nathan Rao</t>
  </si>
  <si>
    <t>IND-NPI-1165</t>
  </si>
  <si>
    <t>WRONG-HUM</t>
  </si>
  <si>
    <t>ENR-0166</t>
  </si>
  <si>
    <t>Dr. Aria Rao</t>
  </si>
  <si>
    <t>IND-NPI-1166</t>
  </si>
  <si>
    <t>PTAN-0166</t>
  </si>
  <si>
    <t>ENR-0167</t>
  </si>
  <si>
    <t>IND-NPI-1167</t>
  </si>
  <si>
    <t>PTAN-0167</t>
  </si>
  <si>
    <t>ENR-0168</t>
  </si>
  <si>
    <t>Dr. Elena Ali</t>
  </si>
  <si>
    <t>IND-NPI-1168</t>
  </si>
  <si>
    <t>ENR-0169</t>
  </si>
  <si>
    <t>Dr. Nora Khan</t>
  </si>
  <si>
    <t>IND-NPI-1169</t>
  </si>
  <si>
    <t>ENR-0170</t>
  </si>
  <si>
    <t>IND-NPI-1170</t>
  </si>
  <si>
    <t>GRP-NPI-9128</t>
  </si>
  <si>
    <t>ENR-0171</t>
  </si>
  <si>
    <t>Dr. Daniel Torres</t>
  </si>
  <si>
    <t>IND-NPI-1171</t>
  </si>
  <si>
    <t>ENR-0172</t>
  </si>
  <si>
    <t>Dr. Kavya Menon</t>
  </si>
  <si>
    <t>IND-NPI-1172</t>
  </si>
  <si>
    <t>ENR-0173</t>
  </si>
  <si>
    <t>Dr. Amara Miller</t>
  </si>
  <si>
    <t>IND-NPI-1173</t>
  </si>
  <si>
    <t>ENR-0174</t>
  </si>
  <si>
    <t>IND-NPI-1174</t>
  </si>
  <si>
    <t>ENR-0175</t>
  </si>
  <si>
    <t>Dr. Amara Bennett</t>
  </si>
  <si>
    <t>IND-NPI-1175</t>
  </si>
  <si>
    <t>PTAN-0175</t>
  </si>
  <si>
    <t>ENR-0176</t>
  </si>
  <si>
    <t>Dr. Maya Chen</t>
  </si>
  <si>
    <t>IND-NPI-1176</t>
  </si>
  <si>
    <t>PTAN-0176</t>
  </si>
  <si>
    <t>ENR-0177</t>
  </si>
  <si>
    <t>Dr. Mark Rao</t>
  </si>
  <si>
    <t>IND-NPI-1177</t>
  </si>
  <si>
    <t>ENR-0178</t>
  </si>
  <si>
    <t>Dr. Sara Patel</t>
  </si>
  <si>
    <t>IND-NPI-1178</t>
  </si>
  <si>
    <t>ENR-0179</t>
  </si>
  <si>
    <t>IND-NPI-1179</t>
  </si>
  <si>
    <t>ENR-0180</t>
  </si>
  <si>
    <t>Dr. Aria Joshi</t>
  </si>
  <si>
    <t>IND-NPI-1180</t>
  </si>
  <si>
    <t>ENR-0181</t>
  </si>
  <si>
    <t>Dr. Rohan Scott</t>
  </si>
  <si>
    <t>IND-NPI-1181</t>
  </si>
  <si>
    <t>ENR-0182</t>
  </si>
  <si>
    <t>Dr. Vivek Khan</t>
  </si>
  <si>
    <t>IND-NPI-1182</t>
  </si>
  <si>
    <t>ENR-0183</t>
  </si>
  <si>
    <t>Dr. Kavya Miller</t>
  </si>
  <si>
    <t>IND-NPI-1183</t>
  </si>
  <si>
    <t>PTAN-0183</t>
  </si>
  <si>
    <t>ENR-0184</t>
  </si>
  <si>
    <t>Dr. Daniel Brown</t>
  </si>
  <si>
    <t>IND-NPI-1184</t>
  </si>
  <si>
    <t>BCBS-OLD</t>
  </si>
  <si>
    <t>ENR-0185</t>
  </si>
  <si>
    <t>Dr. Farah Mehta</t>
  </si>
  <si>
    <t>IND-NPI-1185</t>
  </si>
  <si>
    <t>ENR-0186</t>
  </si>
  <si>
    <t>Dr. Mina Mehta</t>
  </si>
  <si>
    <t>IND-NPI-1186</t>
  </si>
  <si>
    <t>PTAN-0186</t>
  </si>
  <si>
    <t>ENR-0187</t>
  </si>
  <si>
    <t>Dr. Elena Scott</t>
  </si>
  <si>
    <t>IND-NPI-1187</t>
  </si>
  <si>
    <t>GRP-NPI-9118</t>
  </si>
  <si>
    <t>PTAN-0187</t>
  </si>
  <si>
    <t>ENR-0188</t>
  </si>
  <si>
    <t>Dr. Grace Kapoor</t>
  </si>
  <si>
    <t>IND-NPI-1188</t>
  </si>
  <si>
    <t>SYN-TIN-041</t>
  </si>
  <si>
    <t>ENR-0189</t>
  </si>
  <si>
    <t>Dr. Kavya Mehta</t>
  </si>
  <si>
    <t>IND-NPI-1189</t>
  </si>
  <si>
    <t>ENR-0190</t>
  </si>
  <si>
    <t>Dr. Sanjay Chen</t>
  </si>
  <si>
    <t>IND-NPI-1190</t>
  </si>
  <si>
    <t>ENR-0191</t>
  </si>
  <si>
    <t>Dr. Emily Ali</t>
  </si>
  <si>
    <t>IND-NPI-1191</t>
  </si>
  <si>
    <t>SYN-TIN-025</t>
  </si>
  <si>
    <t>ENR-0192</t>
  </si>
  <si>
    <t>Dr. Ivy Brooks</t>
  </si>
  <si>
    <t>IND-NPI-1192</t>
  </si>
  <si>
    <t>ENR-0193</t>
  </si>
  <si>
    <t>IND-NPI-1193</t>
  </si>
  <si>
    <t>GRP-NPI-9126</t>
  </si>
  <si>
    <t>ENR-0194</t>
  </si>
  <si>
    <t>IND-NPI-1194</t>
  </si>
  <si>
    <t>GRP-NPI-9133</t>
  </si>
  <si>
    <t>ENR-0195</t>
  </si>
  <si>
    <t>Dr. Noah Ahmed</t>
  </si>
  <si>
    <t>IND-NPI-1195</t>
  </si>
  <si>
    <t>ENR-0196</t>
  </si>
  <si>
    <t>IND-NPI-1196</t>
  </si>
  <si>
    <t>ENR-0197</t>
  </si>
  <si>
    <t>Dr. Zara Miller</t>
  </si>
  <si>
    <t>IND-NPI-1197</t>
  </si>
  <si>
    <t>ENR-0198</t>
  </si>
  <si>
    <t>Dr. Sanjay Rao</t>
  </si>
  <si>
    <t>IND-NPI-1198</t>
  </si>
  <si>
    <t>ENR-0199</t>
  </si>
  <si>
    <t>Dr. Owen Singh</t>
  </si>
  <si>
    <t>IND-NPI-1199</t>
  </si>
  <si>
    <t>ENR-0200</t>
  </si>
  <si>
    <t>Dr. Lucas Scott</t>
  </si>
  <si>
    <t>IND-NPI-1200</t>
  </si>
  <si>
    <t>ENR-0201</t>
  </si>
  <si>
    <t>Dr. Hannah Ahmed</t>
  </si>
  <si>
    <t>IND-NPI-1201</t>
  </si>
  <si>
    <t>PTAN-0201</t>
  </si>
  <si>
    <t>ENR-0202</t>
  </si>
  <si>
    <t>Dr. Omar Reed</t>
  </si>
  <si>
    <t>IND-NPI-1202</t>
  </si>
  <si>
    <t>ENR-0203</t>
  </si>
  <si>
    <t>Dr. Noah Das</t>
  </si>
  <si>
    <t>IND-NPI-1203</t>
  </si>
  <si>
    <t>ENR-0204</t>
  </si>
  <si>
    <t>Dr. Leah Brown</t>
  </si>
  <si>
    <t>IND-NPI-1204</t>
  </si>
  <si>
    <t>ENR-0205</t>
  </si>
  <si>
    <t>Dr. Mira Torres</t>
  </si>
  <si>
    <t>IND-NPI-1205</t>
  </si>
  <si>
    <t>PTAN-0205</t>
  </si>
  <si>
    <t>ENR-0206</t>
  </si>
  <si>
    <t>Dr. Mina Iyer</t>
  </si>
  <si>
    <t>IND-NPI-1206</t>
  </si>
  <si>
    <t>PTAN-0206</t>
  </si>
  <si>
    <t>ENR-0207</t>
  </si>
  <si>
    <t>Dr. Isha Singh</t>
  </si>
  <si>
    <t>IND-NPI-1207</t>
  </si>
  <si>
    <t>ENR-0208</t>
  </si>
  <si>
    <t>Dr. Thomas Ali</t>
  </si>
  <si>
    <t>IND-NPI-1208</t>
  </si>
  <si>
    <t>PTAN-0208</t>
  </si>
  <si>
    <t>ENR-0209</t>
  </si>
  <si>
    <t>IND-NPI-1209</t>
  </si>
  <si>
    <t>PTAN-0209</t>
  </si>
  <si>
    <t>ENR-0210</t>
  </si>
  <si>
    <t>Dr. Sara Carter</t>
  </si>
  <si>
    <t>IND-NPI-1210</t>
  </si>
  <si>
    <t>ENR-0211</t>
  </si>
  <si>
    <t>Dr. Thomas Menon</t>
  </si>
  <si>
    <t>IND-NPI-1211</t>
  </si>
  <si>
    <t>ENR-0212</t>
  </si>
  <si>
    <t>Dr. Ethan Scott</t>
  </si>
  <si>
    <t>IND-NPI-1212</t>
  </si>
  <si>
    <t>PTAN-0212</t>
  </si>
  <si>
    <t>ENR-0213</t>
  </si>
  <si>
    <t>Dr. Amara Patel</t>
  </si>
  <si>
    <t>IND-NPI-1213</t>
  </si>
  <si>
    <t>ENR-0214</t>
  </si>
  <si>
    <t>Dr. Rohan Morgan</t>
  </si>
  <si>
    <t>IND-NPI-1214</t>
  </si>
  <si>
    <t>GRP-NPI-9120</t>
  </si>
  <si>
    <t>PTAN-0214</t>
  </si>
  <si>
    <t>ENR-0215</t>
  </si>
  <si>
    <t>Dr. Lily Patel</t>
  </si>
  <si>
    <t>IND-NPI-1215</t>
  </si>
  <si>
    <t>ENR-0216</t>
  </si>
  <si>
    <t>Dr. Samir Rivera</t>
  </si>
  <si>
    <t>IND-NPI-1216</t>
  </si>
  <si>
    <t>ENR-0217</t>
  </si>
  <si>
    <t>Dr. Elias Shah</t>
  </si>
  <si>
    <t>IND-NPI-1217</t>
  </si>
  <si>
    <t>ENR-0218</t>
  </si>
  <si>
    <t>Dr. Nora Morgan</t>
  </si>
  <si>
    <t>IND-NPI-1218</t>
  </si>
  <si>
    <t>GRP-NPI-9106</t>
  </si>
  <si>
    <t>ENR-0219</t>
  </si>
  <si>
    <t>Dr. Owen Ali</t>
  </si>
  <si>
    <t>IND-NPI-1219</t>
  </si>
  <si>
    <t>ENR-0220</t>
  </si>
  <si>
    <t>Dr. Asha Torres</t>
  </si>
  <si>
    <t>IND-NPI-1220</t>
  </si>
  <si>
    <t>ENR-0221</t>
  </si>
  <si>
    <t>Dr. Lucas Rao</t>
  </si>
  <si>
    <t>IND-NPI-1221</t>
  </si>
  <si>
    <t>ENR-0222</t>
  </si>
  <si>
    <t>Dr. Vivek Joshi</t>
  </si>
  <si>
    <t>IND-NPI-1222</t>
  </si>
  <si>
    <t>ENR-0223</t>
  </si>
  <si>
    <t>IND-NPI-1223</t>
  </si>
  <si>
    <t>ENR-0224</t>
  </si>
  <si>
    <t>Dr. Amara Das</t>
  </si>
  <si>
    <t>IND-NPI-1224</t>
  </si>
  <si>
    <t>PTAN-0224</t>
  </si>
  <si>
    <t>ENR-0225</t>
  </si>
  <si>
    <t>Dr. Neha Patel</t>
  </si>
  <si>
    <t>IND-NPI-1225</t>
  </si>
  <si>
    <t>PTAN-0225</t>
  </si>
  <si>
    <t>ENR-0226</t>
  </si>
  <si>
    <t>Dr. Lily Rao</t>
  </si>
  <si>
    <t>IND-NPI-1226</t>
  </si>
  <si>
    <t>ENR-0227</t>
  </si>
  <si>
    <t>Dr. Aiden Singh</t>
  </si>
  <si>
    <t>IND-NPI-1227</t>
  </si>
  <si>
    <t>ENR-0228</t>
  </si>
  <si>
    <t>Dr. Farah Khan</t>
  </si>
  <si>
    <t>IND-NPI-1228</t>
  </si>
  <si>
    <t>ENR-0229</t>
  </si>
  <si>
    <t>Dr. Nathan Brown</t>
  </si>
  <si>
    <t>IND-NPI-1229</t>
  </si>
  <si>
    <t>ENR-0230</t>
  </si>
  <si>
    <t>Dr. Thomas Singh</t>
  </si>
  <si>
    <t>IND-NPI-1230</t>
  </si>
  <si>
    <t>ENR-0231</t>
  </si>
  <si>
    <t>Dr. Ivy Scott</t>
  </si>
  <si>
    <t>IND-NPI-1231</t>
  </si>
  <si>
    <t>ENR-0232</t>
  </si>
  <si>
    <t>Dr. Aditya Kapoor</t>
  </si>
  <si>
    <t>IND-NPI-1232</t>
  </si>
  <si>
    <t>ENR-0233</t>
  </si>
  <si>
    <t>IND-NPI-1233</t>
  </si>
  <si>
    <t>ENR-0234</t>
  </si>
  <si>
    <t>Dr. Aiden Reed</t>
  </si>
  <si>
    <t>IND-NPI-1234</t>
  </si>
  <si>
    <t>GRP-NPI-9119</t>
  </si>
  <si>
    <t>ENR-0235</t>
  </si>
  <si>
    <t>Dr. Hannah Gray</t>
  </si>
  <si>
    <t>IND-NPI-1235</t>
  </si>
  <si>
    <t>ENR-0236</t>
  </si>
  <si>
    <t>Dr. Daniel Miller</t>
  </si>
  <si>
    <t>IND-NPI-1236</t>
  </si>
  <si>
    <t>ENR-0237</t>
  </si>
  <si>
    <t>IND-NPI-1237</t>
  </si>
  <si>
    <t>ENR-0238</t>
  </si>
  <si>
    <t>Dr. Kavya Torres</t>
  </si>
  <si>
    <t>IND-NPI-1238</t>
  </si>
  <si>
    <t>ENR-0239</t>
  </si>
  <si>
    <t>Dr. Mark Das</t>
  </si>
  <si>
    <t>IND-NPI-1239</t>
  </si>
  <si>
    <t>PTAN-0239</t>
  </si>
  <si>
    <t>ENR-0240</t>
  </si>
  <si>
    <t>Dr. Owen Morgan</t>
  </si>
  <si>
    <t>IND-NPI-1240</t>
  </si>
  <si>
    <t>PTAN-0240</t>
  </si>
  <si>
    <t>ENR-0241</t>
  </si>
  <si>
    <t>Dr. Samir Rao</t>
  </si>
  <si>
    <t>IND-NPI-1241</t>
  </si>
  <si>
    <t>PTAN-0241</t>
  </si>
  <si>
    <t>ENR-0242</t>
  </si>
  <si>
    <t>IND-NPI-1242</t>
  </si>
  <si>
    <t>PTAN-0242</t>
  </si>
  <si>
    <t>ENR-0243</t>
  </si>
  <si>
    <t>IND-NPI-1243</t>
  </si>
  <si>
    <t>ENR-0244</t>
  </si>
  <si>
    <t>Dr. Amara Kapoor</t>
  </si>
  <si>
    <t>IND-NPI-1244</t>
  </si>
  <si>
    <t>ENR-0245</t>
  </si>
  <si>
    <t>IND-NPI-1245</t>
  </si>
  <si>
    <t>PTAN-0245</t>
  </si>
  <si>
    <t>ENR-0246</t>
  </si>
  <si>
    <t>IND-NPI-1246</t>
  </si>
  <si>
    <t>ENR-0247</t>
  </si>
  <si>
    <t>Dr. Noah Bennett</t>
  </si>
  <si>
    <t>IND-NPI-1247</t>
  </si>
  <si>
    <t>ENR-0248</t>
  </si>
  <si>
    <t>IND-NPI-1248</t>
  </si>
  <si>
    <t>ENR-0249</t>
  </si>
  <si>
    <t>Dr. Mark Iyer</t>
  </si>
  <si>
    <t>IND-NPI-1249</t>
  </si>
  <si>
    <t>ENR-0250</t>
  </si>
  <si>
    <t>Dr. Lily Gray</t>
  </si>
  <si>
    <t>IND-NPI-1250</t>
  </si>
  <si>
    <t>Claims Ready Records</t>
  </si>
  <si>
    <t>Count of Record ID</t>
  </si>
  <si>
    <t>Action Required Records</t>
  </si>
  <si>
    <t>193 of 250 records have Action Required = Yes.</t>
  </si>
  <si>
    <t>158 records have breached the assumed 21-day SLA.</t>
  </si>
  <si>
    <t>Clearinghouse portal gaps and individual-vs-group 
NPI issues are the top blockers.</t>
  </si>
  <si>
    <t>These are the highest frequency actionable blocker categories
in the expanded dataset</t>
  </si>
  <si>
    <t>Certain payers show higher blocked record counts</t>
  </si>
  <si>
    <t>Blue cross, Humana, and Cigna are among the highest blocked
payers in the expanded dashboard</t>
  </si>
  <si>
    <t>Claims Ready = 48, ERA Ready = 38.</t>
  </si>
  <si>
    <t>NPI-realted issues remain one of the major blocker categories</t>
  </si>
  <si>
    <t>158 records are already beyond the assumed 21-day SLA.</t>
  </si>
  <si>
    <t>Prioritize payer follow-up for payers with the highest blocked record counts</t>
  </si>
  <si>
    <t>Higher blocked counts may indicate payer-specific process or setup issues</t>
  </si>
  <si>
    <t>7. The current 250-row dataset is a learning sample and will be expanded before final portfolio publication.</t>
  </si>
  <si>
    <t>Built an Excel-based healthcare EDI enrollment readiness dashboard using 250 synthetic enrollment records to track claims enrollment, ERA enrollment, credentialing alignment, payer setup, NPI/PTAN issues, clearinghouse configuration, SLA breaches, payer-level blockers, and action-required records.</t>
  </si>
  <si>
    <t>Key
Insights</t>
  </si>
  <si>
    <t>193 of 250 records require action due to enrollment, credentialing, payer setup, NPI/PTAN, ERA, or clearinghouse issues</t>
  </si>
  <si>
    <t>158 records beyond the 21-day SLA, indicating significant aging risk in enrollment workflow</t>
  </si>
  <si>
    <t>Clearinghouse portal gaps and individual-vs-group NPI issues are the top blockers</t>
  </si>
  <si>
    <t>Blue Cross, Humana, and Cigna are among payers with  the highest blocked record counts</t>
  </si>
  <si>
    <r>
      <rPr>
        <b/>
        <sz val="18"/>
        <color theme="0"/>
        <rFont val="Calibri"/>
        <family val="2"/>
        <scheme val="minor"/>
      </rPr>
      <t>Provider/Payer EDI Enrollment Readiness Dashboard</t>
    </r>
    <r>
      <rPr>
        <b/>
        <sz val="15"/>
        <color theme="0"/>
        <rFont val="Calibri"/>
        <family val="2"/>
        <scheme val="minor"/>
      </rPr>
      <t xml:space="preserve">
</t>
    </r>
    <r>
      <rPr>
        <b/>
        <sz val="10"/>
        <color theme="0"/>
        <rFont val="Calibri"/>
        <family val="2"/>
        <scheme val="minor"/>
      </rPr>
      <t xml:space="preserve">Claims Enrollment | ERA Enrollment | Clearinghouse Readiness | NPI/PTAN Issues | Credential Alignment | Payer Setup                                                                                                                                                                                                                                                                                                                                                                                       </t>
    </r>
  </si>
  <si>
    <t>Snapshot Date: 06/03/2026</t>
  </si>
  <si>
    <t>Claims readiness is higher than ERA readiness, with 48 claims-ready records compared with 38 ERA-ready records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</si>
</sst>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19">
    <font>
      <sz val="11"/>
      <color theme="1"/>
      <name val="Calibri"/>
      <family val="2"/>
      <scheme val="minor"/>
    </font>
    <font>
      <b/>
      <sz val="11"/>
      <color theme="1"/>
      <name val="Calibri"/>
      <family val="2"/>
      <scheme val="minor"/>
    </font>
    <font>
      <sz val="10"/>
      <color rgb="FF000000"/>
      <name val="Amiri"/>
    </font>
    <font>
      <b/>
      <sz val="12"/>
      <color theme="1"/>
      <name val="Calibri"/>
      <family val="2"/>
      <scheme val="minor"/>
    </font>
    <font>
      <b/>
      <sz val="14"/>
      <color theme="0"/>
      <name val="Calibri"/>
      <family val="2"/>
      <scheme val="minor"/>
    </font>
    <font>
      <sz val="8"/>
      <color rgb="FF000000"/>
      <name val="Amiri"/>
    </font>
    <font>
      <b/>
      <sz val="11"/>
      <color rgb="FFFFFFFF"/>
      <name val="Carlito"/>
    </font>
    <font>
      <b/>
      <sz val="11"/>
      <color theme="0"/>
      <name val="Calibri"/>
      <family val="2"/>
      <scheme val="minor"/>
    </font>
    <font>
      <b/>
      <sz val="10"/>
      <color theme="1"/>
      <name val="Calibri"/>
      <family val="2"/>
      <scheme val="minor"/>
    </font>
    <font>
      <b/>
      <sz val="18"/>
      <color theme="0"/>
      <name val="Calibri"/>
      <family val="2"/>
      <scheme val="minor"/>
    </font>
    <font>
      <b/>
      <sz val="15"/>
      <color theme="0"/>
      <name val="Calibri"/>
      <family val="2"/>
      <scheme val="minor"/>
    </font>
    <font>
      <b/>
      <sz val="10"/>
      <color theme="0"/>
      <name val="Calibri"/>
      <family val="2"/>
      <scheme val="minor"/>
    </font>
    <font>
      <b/>
      <sz val="12"/>
      <color theme="3"/>
      <name val="Calibri"/>
      <family val="2"/>
      <scheme val="minor"/>
    </font>
    <font>
      <b/>
      <sz val="12"/>
      <color rgb="FF00B050"/>
      <name val="Calibri"/>
      <family val="2"/>
      <scheme val="minor"/>
    </font>
    <font>
      <b/>
      <sz val="12"/>
      <color rgb="FFFF0000"/>
      <name val="Calibri"/>
      <family val="2"/>
      <scheme val="minor"/>
    </font>
    <font>
      <b/>
      <sz val="12"/>
      <color theme="5"/>
      <name val="Calibri"/>
      <family val="2"/>
      <scheme val="minor"/>
    </font>
    <font>
      <b/>
      <sz val="12"/>
      <color rgb="FFFFC000"/>
      <name val="Calibri"/>
      <family val="2"/>
      <scheme val="minor"/>
    </font>
    <font>
      <b/>
      <sz val="12"/>
      <color theme="7"/>
      <name val="Calibri"/>
      <family val="2"/>
      <scheme val="minor"/>
    </font>
    <font>
      <b/>
      <sz val="11"/>
      <color theme="8"/>
      <name val="Calibri"/>
      <family val="2"/>
      <scheme val="minor"/>
    </font>
  </fonts>
  <fills count="5">
    <fill>
      <patternFill patternType="none"/>
    </fill>
    <fill>
      <patternFill patternType="gray125"/>
    </fill>
    <fill>
      <patternFill patternType="solid">
        <fgColor theme="1"/>
        <bgColor indexed="64"/>
      </patternFill>
    </fill>
    <fill>
      <patternFill patternType="solid">
        <fgColor rgb="FF1F4E78"/>
      </patternFill>
    </fill>
    <fill>
      <patternFill patternType="solid">
        <fgColor theme="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rgb="FFD7DBD7"/>
      </left>
      <right/>
      <top style="thin">
        <color rgb="FFD7DBD7"/>
      </top>
      <bottom/>
      <diagonal/>
    </border>
    <border>
      <left/>
      <right style="thin">
        <color rgb="FFD7DBD7"/>
      </right>
      <top style="thin">
        <color rgb="FFD7DBD7"/>
      </top>
      <bottom/>
      <diagonal/>
    </border>
    <border>
      <left style="thin">
        <color rgb="FFD7DBD7"/>
      </left>
      <right/>
      <top/>
      <bottom/>
      <diagonal/>
    </border>
    <border>
      <left/>
      <right style="thin">
        <color rgb="FFD7DBD7"/>
      </right>
      <top/>
      <bottom/>
      <diagonal/>
    </border>
    <border>
      <left style="thin">
        <color rgb="FFD7DBD7"/>
      </left>
      <right/>
      <top/>
      <bottom style="thin">
        <color rgb="FFD7DBD7"/>
      </bottom>
      <diagonal/>
    </border>
    <border>
      <left/>
      <right style="thin">
        <color rgb="FFD7DBD7"/>
      </right>
      <top/>
      <bottom style="thin">
        <color rgb="FFD7DBD7"/>
      </bottom>
      <diagonal/>
    </border>
    <border>
      <left/>
      <right/>
      <top/>
      <bottom style="thin">
        <color rgb="FFD7DBD7"/>
      </bottom>
      <diagonal/>
    </border>
    <border>
      <left style="medium">
        <color rgb="FFD7DBD7"/>
      </left>
      <right/>
      <top style="medium">
        <color rgb="FFD7DBD7"/>
      </top>
      <bottom/>
      <diagonal/>
    </border>
    <border>
      <left/>
      <right/>
      <top style="medium">
        <color rgb="FFD7DBD7"/>
      </top>
      <bottom/>
      <diagonal/>
    </border>
    <border>
      <left style="thin">
        <color rgb="FFD7DBD7"/>
      </left>
      <right/>
      <top style="medium">
        <color rgb="FFD7DBD7"/>
      </top>
      <bottom/>
      <diagonal/>
    </border>
    <border>
      <left/>
      <right style="thin">
        <color rgb="FFD7DBD7"/>
      </right>
      <top style="medium">
        <color rgb="FFD7DBD7"/>
      </top>
      <bottom/>
      <diagonal/>
    </border>
    <border>
      <left/>
      <right style="medium">
        <color rgb="FFD7DBD7"/>
      </right>
      <top style="medium">
        <color rgb="FFD7DBD7"/>
      </top>
      <bottom/>
      <diagonal/>
    </border>
    <border>
      <left style="medium">
        <color rgb="FFD7DBD7"/>
      </left>
      <right/>
      <top/>
      <bottom/>
      <diagonal/>
    </border>
    <border>
      <left/>
      <right style="medium">
        <color rgb="FFD7DBD7"/>
      </right>
      <top/>
      <bottom/>
      <diagonal/>
    </border>
    <border>
      <left style="medium">
        <color rgb="FFD7DBD7"/>
      </left>
      <right/>
      <top/>
      <bottom style="medium">
        <color rgb="FFD7DBD7"/>
      </bottom>
      <diagonal/>
    </border>
    <border>
      <left/>
      <right/>
      <top/>
      <bottom style="medium">
        <color rgb="FFD7DBD7"/>
      </bottom>
      <diagonal/>
    </border>
    <border>
      <left style="thin">
        <color rgb="FFD7DBD7"/>
      </left>
      <right/>
      <top/>
      <bottom style="medium">
        <color rgb="FFD7DBD7"/>
      </bottom>
      <diagonal/>
    </border>
    <border>
      <left/>
      <right style="thin">
        <color rgb="FFD7DBD7"/>
      </right>
      <top/>
      <bottom style="medium">
        <color rgb="FFD7DBD7"/>
      </bottom>
      <diagonal/>
    </border>
    <border>
      <left/>
      <right style="medium">
        <color rgb="FFD7DBD7"/>
      </right>
      <top/>
      <bottom style="medium">
        <color rgb="FFD7DBD7"/>
      </bottom>
      <diagonal/>
    </border>
  </borders>
  <cellStyleXfs count="1">
    <xf numFmtId="0" fontId="0" fillId="0" borderId="0"/>
  </cellStyleXfs>
  <cellXfs count="173">
    <xf numFmtId="0" fontId="0" fillId="0" borderId="0" xfId="0"/>
    <xf numFmtId="14" fontId="0" fillId="0" borderId="0" xfId="0" applyNumberFormat="1"/>
    <xf numFmtId="0" fontId="1" fillId="0" borderId="0" xfId="0" applyFont="1"/>
    <xf numFmtId="0" fontId="1" fillId="0" borderId="1" xfId="0" applyFont="1" applyBorder="1"/>
    <xf numFmtId="0" fontId="0" fillId="0" borderId="1" xfId="0" applyBorder="1"/>
    <xf numFmtId="0" fontId="0" fillId="0" borderId="3" xfId="0" applyBorder="1"/>
    <xf numFmtId="0" fontId="0" fillId="0" borderId="4" xfId="0" applyBorder="1"/>
    <xf numFmtId="0" fontId="0" fillId="0" borderId="1" xfId="0" applyFont="1" applyBorder="1"/>
    <xf numFmtId="0" fontId="1" fillId="0" borderId="4" xfId="0" applyFont="1" applyBorder="1"/>
    <xf numFmtId="14" fontId="0" fillId="0" borderId="3" xfId="0" applyNumberFormat="1" applyBorder="1"/>
    <xf numFmtId="0" fontId="0" fillId="0" borderId="5" xfId="0" applyBorder="1"/>
    <xf numFmtId="0" fontId="1" fillId="0" borderId="6" xfId="0" applyFont="1" applyBorder="1"/>
    <xf numFmtId="0" fontId="1" fillId="0" borderId="7" xfId="0" applyFont="1"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6" xfId="0" applyBorder="1"/>
    <xf numFmtId="0" fontId="0" fillId="0" borderId="7" xfId="0" applyBorder="1"/>
    <xf numFmtId="0" fontId="1" fillId="0" borderId="12" xfId="0" applyFont="1" applyBorder="1"/>
    <xf numFmtId="0" fontId="0" fillId="0" borderId="0" xfId="0" applyBorder="1"/>
    <xf numFmtId="0" fontId="0" fillId="0" borderId="13"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Border="1" applyAlignment="1">
      <alignment vertical="top"/>
    </xf>
    <xf numFmtId="0" fontId="2" fillId="0" borderId="0" xfId="0" applyFont="1" applyAlignment="1">
      <alignment vertical="center"/>
    </xf>
    <xf numFmtId="0" fontId="1" fillId="0" borderId="2" xfId="0" applyFont="1" applyBorder="1"/>
    <xf numFmtId="0" fontId="0" fillId="0" borderId="14" xfId="0" applyBorder="1"/>
    <xf numFmtId="0" fontId="0" fillId="0" borderId="18" xfId="0" applyBorder="1"/>
    <xf numFmtId="0" fontId="0" fillId="0" borderId="18" xfId="0" applyBorder="1" applyAlignment="1">
      <alignment horizontal="center" vertical="center"/>
    </xf>
    <xf numFmtId="0" fontId="0" fillId="0" borderId="9" xfId="0" applyBorder="1"/>
    <xf numFmtId="0" fontId="0" fillId="0" borderId="13" xfId="0" applyBorder="1"/>
    <xf numFmtId="0" fontId="0" fillId="0" borderId="11" xfId="0" applyBorder="1"/>
    <xf numFmtId="0" fontId="6" fillId="3" borderId="0" xfId="0" applyNumberFormat="1" applyFont="1" applyFill="1" applyBorder="1" applyAlignment="1">
      <alignment wrapText="1"/>
    </xf>
    <xf numFmtId="0" fontId="0" fillId="0" borderId="0" xfId="0" applyNumberFormat="1" applyFont="1" applyFill="1" applyBorder="1" applyAlignment="1">
      <alignment wrapText="1"/>
    </xf>
    <xf numFmtId="164" fontId="0" fillId="0" borderId="0" xfId="0" applyNumberFormat="1" applyFont="1" applyFill="1" applyBorder="1" applyAlignment="1">
      <alignment wrapText="1"/>
    </xf>
    <xf numFmtId="0" fontId="0" fillId="0" borderId="0" xfId="0" applyAlignment="1">
      <alignment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16" xfId="0" applyBorder="1"/>
    <xf numFmtId="0" fontId="0" fillId="0" borderId="17" xfId="0" applyBorder="1"/>
    <xf numFmtId="0" fontId="1" fillId="0" borderId="0" xfId="0" applyFont="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0" xfId="0" applyFont="1" applyAlignment="1">
      <alignment horizontal="left"/>
    </xf>
    <xf numFmtId="0" fontId="10" fillId="4" borderId="8" xfId="0" applyFont="1" applyFill="1" applyBorder="1" applyAlignment="1">
      <alignment horizontal="center" vertical="center" wrapText="1"/>
    </xf>
    <xf numFmtId="0" fontId="10" fillId="4" borderId="0" xfId="0" applyFont="1" applyFill="1" applyBorder="1" applyAlignment="1">
      <alignment horizontal="center" vertical="center" wrapText="1"/>
    </xf>
    <xf numFmtId="0" fontId="11" fillId="4" borderId="8" xfId="0" applyFont="1" applyFill="1" applyBorder="1" applyAlignment="1">
      <alignment horizontal="right" vertical="center"/>
    </xf>
    <xf numFmtId="0" fontId="11" fillId="4" borderId="0" xfId="0" applyFont="1" applyFill="1" applyBorder="1" applyAlignment="1">
      <alignment horizontal="right" vertical="center"/>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18" fillId="0" borderId="21" xfId="0" applyFont="1" applyBorder="1" applyAlignment="1">
      <alignment horizontal="center" vertical="center"/>
    </xf>
    <xf numFmtId="0" fontId="18" fillId="0" borderId="22" xfId="0" applyFont="1" applyBorder="1" applyAlignment="1">
      <alignment horizontal="center"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7" fillId="4" borderId="26" xfId="0" applyFont="1" applyFill="1" applyBorder="1" applyAlignment="1">
      <alignment horizontal="center" vertical="center" wrapText="1"/>
    </xf>
    <xf numFmtId="0" fontId="7" fillId="4" borderId="27" xfId="0" applyFont="1" applyFill="1" applyBorder="1" applyAlignment="1">
      <alignment horizontal="center" vertical="center"/>
    </xf>
    <xf numFmtId="0" fontId="7" fillId="4" borderId="31" xfId="0" applyFont="1" applyFill="1" applyBorder="1" applyAlignment="1">
      <alignment horizontal="center" vertical="center"/>
    </xf>
    <xf numFmtId="0" fontId="7" fillId="4" borderId="0" xfId="0" applyFont="1" applyFill="1" applyBorder="1" applyAlignment="1">
      <alignment horizontal="center" vertical="center"/>
    </xf>
    <xf numFmtId="0" fontId="7" fillId="4" borderId="33" xfId="0" applyFont="1" applyFill="1" applyBorder="1" applyAlignment="1">
      <alignment horizontal="center" vertical="center"/>
    </xf>
    <xf numFmtId="0" fontId="7" fillId="4" borderId="34" xfId="0" applyFont="1" applyFill="1" applyBorder="1" applyAlignment="1">
      <alignment horizontal="center" vertical="center"/>
    </xf>
    <xf numFmtId="0" fontId="1" fillId="0" borderId="28"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37" xfId="0" applyFont="1" applyBorder="1" applyAlignment="1">
      <alignment horizontal="center" vertical="center" wrapText="1"/>
    </xf>
    <xf numFmtId="0" fontId="0" fillId="4" borderId="0" xfId="0" applyFill="1" applyAlignment="1">
      <alignment horizontal="center"/>
    </xf>
    <xf numFmtId="0" fontId="0" fillId="4" borderId="0" xfId="0" applyFill="1" applyBorder="1" applyAlignment="1">
      <alignment horizontal="center"/>
    </xf>
    <xf numFmtId="0" fontId="7" fillId="4" borderId="0" xfId="0" applyFont="1" applyFill="1" applyAlignment="1">
      <alignment horizontal="center" vertical="center"/>
    </xf>
    <xf numFmtId="0" fontId="12" fillId="0" borderId="21" xfId="0" applyFont="1" applyBorder="1" applyAlignment="1">
      <alignment horizontal="center" vertical="center"/>
    </xf>
    <xf numFmtId="0" fontId="12" fillId="0" borderId="0"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5" xfId="0" applyFont="1" applyBorder="1" applyAlignment="1">
      <alignment horizontal="center" vertical="center"/>
    </xf>
    <xf numFmtId="0" fontId="12" fillId="0" borderId="24" xfId="0" applyFont="1" applyBorder="1" applyAlignment="1">
      <alignment horizontal="center" vertical="center"/>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7" fillId="0" borderId="21" xfId="0" applyFont="1" applyBorder="1" applyAlignment="1">
      <alignment horizontal="center" vertical="center"/>
    </xf>
    <xf numFmtId="0" fontId="17" fillId="0" borderId="22" xfId="0" applyFont="1" applyBorder="1" applyAlignment="1">
      <alignment horizontal="center" vertical="center"/>
    </xf>
    <xf numFmtId="0" fontId="17" fillId="0" borderId="23" xfId="0" applyFont="1" applyBorder="1" applyAlignment="1">
      <alignment horizontal="center" vertical="center"/>
    </xf>
    <xf numFmtId="0" fontId="17" fillId="0" borderId="24"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5" fillId="0" borderId="21" xfId="0" applyFont="1" applyBorder="1" applyAlignment="1">
      <alignment horizontal="center" vertical="center"/>
    </xf>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5" fillId="0" borderId="24" xfId="0" applyFont="1" applyBorder="1" applyAlignment="1">
      <alignment horizontal="center" vertical="center"/>
    </xf>
    <xf numFmtId="0" fontId="5" fillId="0" borderId="8" xfId="0" applyFont="1" applyBorder="1" applyAlignment="1">
      <alignment horizontal="left" vertical="center" wrapText="1"/>
    </xf>
    <xf numFmtId="0" fontId="5" fillId="0" borderId="0" xfId="0" applyFont="1" applyBorder="1" applyAlignment="1">
      <alignment horizontal="left" vertical="center" wrapText="1"/>
    </xf>
    <xf numFmtId="0" fontId="5" fillId="0" borderId="9" xfId="0" applyFont="1" applyBorder="1" applyAlignment="1">
      <alignment horizontal="left" vertical="center" wrapText="1"/>
    </xf>
    <xf numFmtId="0" fontId="5" fillId="0" borderId="10" xfId="0" applyFont="1" applyBorder="1" applyAlignment="1">
      <alignment horizontal="left" vertical="center" wrapText="1"/>
    </xf>
    <xf numFmtId="0" fontId="5" fillId="0" borderId="13" xfId="0" applyFont="1" applyBorder="1" applyAlignment="1">
      <alignment horizontal="left" vertical="center" wrapText="1"/>
    </xf>
    <xf numFmtId="0" fontId="5" fillId="0" borderId="11" xfId="0" applyFont="1" applyBorder="1" applyAlignment="1">
      <alignment horizontal="left" vertical="center" wrapText="1"/>
    </xf>
    <xf numFmtId="0" fontId="0" fillId="0" borderId="8" xfId="0" applyBorder="1"/>
    <xf numFmtId="0" fontId="0" fillId="0" borderId="0" xfId="0" applyBorder="1"/>
    <xf numFmtId="0" fontId="0" fillId="0" borderId="8" xfId="0" applyBorder="1" applyAlignment="1">
      <alignment wrapText="1"/>
    </xf>
    <xf numFmtId="0" fontId="0" fillId="0" borderId="0" xfId="0" applyBorder="1" applyAlignment="1">
      <alignment wrapText="1"/>
    </xf>
    <xf numFmtId="0" fontId="0" fillId="0" borderId="9" xfId="0" applyBorder="1" applyAlignment="1">
      <alignment wrapText="1"/>
    </xf>
    <xf numFmtId="0" fontId="1" fillId="0" borderId="10" xfId="0" applyFont="1" applyBorder="1"/>
    <xf numFmtId="0" fontId="1" fillId="0" borderId="13" xfId="0" applyFont="1" applyBorder="1"/>
    <xf numFmtId="0" fontId="1" fillId="0" borderId="11" xfId="0" applyFont="1" applyBorder="1"/>
    <xf numFmtId="0" fontId="0" fillId="0" borderId="10" xfId="0" applyBorder="1" applyAlignment="1">
      <alignment vertical="center" wrapText="1"/>
    </xf>
    <xf numFmtId="0" fontId="0" fillId="0" borderId="13" xfId="0" applyBorder="1" applyAlignment="1">
      <alignment vertical="center" wrapText="1"/>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3" xfId="0" applyBorder="1" applyAlignment="1">
      <alignment horizontal="left" vertical="top" wrapText="1"/>
    </xf>
    <xf numFmtId="0" fontId="0" fillId="0" borderId="11" xfId="0" applyBorder="1" applyAlignment="1">
      <alignment horizontal="left" vertical="top" wrapText="1"/>
    </xf>
    <xf numFmtId="0" fontId="1" fillId="0" borderId="15" xfId="0" applyFont="1" applyBorder="1"/>
    <xf numFmtId="0" fontId="1" fillId="0" borderId="16" xfId="0" applyFont="1" applyBorder="1"/>
    <xf numFmtId="0" fontId="1" fillId="0" borderId="17" xfId="0" applyFont="1" applyBorder="1"/>
    <xf numFmtId="0" fontId="0" fillId="0" borderId="8" xfId="0" applyBorder="1" applyAlignment="1">
      <alignment vertical="center" wrapText="1"/>
    </xf>
    <xf numFmtId="0" fontId="0" fillId="0" borderId="0"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xf>
    <xf numFmtId="0" fontId="0" fillId="0" borderId="13" xfId="0" applyBorder="1" applyAlignment="1">
      <alignment vertical="center"/>
    </xf>
    <xf numFmtId="0" fontId="0" fillId="0" borderId="11" xfId="0" applyBorder="1" applyAlignment="1">
      <alignment vertical="center"/>
    </xf>
    <xf numFmtId="0" fontId="0" fillId="0" borderId="15" xfId="0" applyBorder="1" applyAlignment="1">
      <alignment vertical="center" wrapText="1"/>
    </xf>
    <xf numFmtId="0" fontId="0" fillId="0" borderId="16" xfId="0" applyBorder="1" applyAlignment="1">
      <alignment vertical="center" wrapText="1"/>
    </xf>
    <xf numFmtId="0" fontId="0" fillId="0" borderId="17" xfId="0" applyBorder="1" applyAlignment="1">
      <alignment vertical="center" wrapText="1"/>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0" fillId="0" borderId="15" xfId="0" applyBorder="1"/>
    <xf numFmtId="0" fontId="0" fillId="0" borderId="16" xfId="0" applyBorder="1"/>
    <xf numFmtId="0" fontId="0" fillId="0" borderId="17" xfId="0" applyBorder="1"/>
    <xf numFmtId="0" fontId="0" fillId="0" borderId="10" xfId="0" applyBorder="1" applyAlignment="1">
      <alignment wrapText="1"/>
    </xf>
    <xf numFmtId="0" fontId="0" fillId="0" borderId="13" xfId="0" applyBorder="1" applyAlignment="1">
      <alignment wrapText="1"/>
    </xf>
    <xf numFmtId="0" fontId="0" fillId="0" borderId="11" xfId="0" applyBorder="1" applyAlignment="1">
      <alignment wrapText="1"/>
    </xf>
    <xf numFmtId="0" fontId="0" fillId="0" borderId="10" xfId="0" applyBorder="1"/>
    <xf numFmtId="0" fontId="0" fillId="0" borderId="13" xfId="0" applyBorder="1"/>
    <xf numFmtId="0" fontId="0" fillId="0" borderId="11" xfId="0" applyBorder="1"/>
    <xf numFmtId="0" fontId="0" fillId="0" borderId="15" xfId="0" applyBorder="1" applyAlignment="1">
      <alignment wrapText="1"/>
    </xf>
    <xf numFmtId="0" fontId="0" fillId="0" borderId="16" xfId="0" applyBorder="1" applyAlignment="1">
      <alignment wrapText="1"/>
    </xf>
    <xf numFmtId="0" fontId="0" fillId="0" borderId="17" xfId="0" applyBorder="1" applyAlignment="1">
      <alignment wrapText="1"/>
    </xf>
    <xf numFmtId="0" fontId="0" fillId="0" borderId="9" xfId="0" applyBorder="1"/>
    <xf numFmtId="0" fontId="5" fillId="0" borderId="6" xfId="0" applyFont="1" applyBorder="1" applyAlignment="1">
      <alignment horizontal="left" vertical="center" wrapText="1"/>
    </xf>
    <xf numFmtId="0" fontId="5" fillId="0" borderId="12" xfId="0" applyFont="1" applyBorder="1" applyAlignment="1">
      <alignment horizontal="left" vertical="center" wrapText="1"/>
    </xf>
    <xf numFmtId="0" fontId="5" fillId="0" borderId="7" xfId="0" applyFont="1" applyBorder="1" applyAlignment="1">
      <alignment horizontal="left" vertical="center" wrapText="1"/>
    </xf>
    <xf numFmtId="0" fontId="4" fillId="2" borderId="8" xfId="0" applyFont="1" applyFill="1" applyBorder="1" applyAlignment="1">
      <alignment horizontal="center" vertical="center"/>
    </xf>
    <xf numFmtId="0" fontId="4" fillId="2" borderId="0" xfId="0" applyFont="1" applyFill="1" applyBorder="1" applyAlignment="1">
      <alignment horizontal="center" vertical="center"/>
    </xf>
    <xf numFmtId="0" fontId="5" fillId="0" borderId="6" xfId="0" applyFont="1" applyBorder="1" applyAlignment="1">
      <alignment vertical="center" wrapText="1"/>
    </xf>
    <xf numFmtId="0" fontId="5" fillId="0" borderId="12" xfId="0" applyFont="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0" xfId="0" applyFont="1" applyBorder="1" applyAlignment="1">
      <alignment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5" fillId="0" borderId="11" xfId="0" applyFont="1" applyBorder="1" applyAlignment="1">
      <alignment vertical="center" wrapText="1"/>
    </xf>
  </cellXfs>
  <cellStyles count="1">
    <cellStyle name="Normal" xfId="0" builtinId="0"/>
  </cellStyles>
  <dxfs count="74">
    <dxf>
      <numFmt numFmtId="0" formatCode="General"/>
    </dxf>
    <dxf>
      <numFmt numFmtId="0" formatCode="General"/>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numFmt numFmtId="19" formatCode="dd/mm/yyyy"/>
      <border diagonalUp="0" diagonalDown="0" outline="0">
        <left style="thin">
          <color indexed="64"/>
        </left>
        <right style="thin">
          <color indexed="64"/>
        </right>
        <top style="thin">
          <color indexed="64"/>
        </top>
        <bottom/>
      </border>
    </dxf>
    <dxf>
      <numFmt numFmtId="164" formatCode="yyyy\-mm\-dd"/>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164" formatCode="yyyy\-mm\-dd"/>
      <fill>
        <patternFill patternType="none">
          <fgColor indexed="64"/>
          <bgColor indexed="65"/>
        </patternFill>
      </fill>
      <alignment horizontal="general" vertical="bottom" textRotation="0" wrapText="1" indent="0" justifyLastLine="0" shrinkToFit="0" readingOrder="0"/>
    </dxf>
    <dxf>
      <numFmt numFmtId="19" formatCode="dd/mm/yyyy"/>
      <border diagonalUp="0" diagonalDown="0" outline="0">
        <left style="thin">
          <color indexed="64"/>
        </left>
        <right style="thin">
          <color indexed="64"/>
        </right>
        <top style="thin">
          <color indexed="64"/>
        </top>
        <bottom/>
      </border>
    </dxf>
    <dxf>
      <numFmt numFmtId="164" formatCode="yyyy\-mm\-dd"/>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border diagonalUp="0" diagonalDown="0" outline="0">
        <left style="thin">
          <color indexed="64"/>
        </left>
        <right style="thin">
          <color indexed="64"/>
        </right>
        <top style="thin">
          <color indexed="64"/>
        </top>
        <bottom/>
      </border>
    </dxf>
    <dxf>
      <numFmt numFmtId="0" formatCode="General"/>
      <fill>
        <patternFill patternType="none">
          <fgColor indexed="64"/>
          <bgColor indexed="65"/>
        </patternFill>
      </fill>
      <alignment horizontal="general" vertical="bottom" textRotation="0" wrapText="1" indent="0" justifyLastLine="0" shrinkToFit="0" readingOrder="0"/>
    </dxf>
    <dxf>
      <numFmt numFmtId="0" formatCode="General"/>
      <fill>
        <patternFill patternType="none">
          <fgColor indexed="64"/>
          <bgColor indexed="65"/>
        </patternFill>
      </fill>
      <alignment horizontal="general" vertical="bottom" textRotation="0" wrapText="1"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s>
  <tableStyles count="0" defaultTableStyle="TableStyleMedium2" defaultPivotStyle="PivotStyleMedium9"/>
  <colors>
    <mruColors>
      <color rgb="FF008000"/>
      <color rgb="FFD7DB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[sample_enrollment_data.xlsx]pivot_analysis!PivotTable2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Enrollment Readiness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pivot_analysis!$B$2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pivot_analysis!$A$3:$A$6</c:f>
              <c:strCache>
                <c:ptCount val="3"/>
                <c:pt idx="0">
                  <c:v>Blocked</c:v>
                </c:pt>
                <c:pt idx="1">
                  <c:v>Pending</c:v>
                </c:pt>
                <c:pt idx="2">
                  <c:v>Ready</c:v>
                </c:pt>
              </c:strCache>
            </c:strRef>
          </c:cat>
          <c:val>
            <c:numRef>
              <c:f>pivot_analysis!$B$3:$B$6</c:f>
              <c:numCache>
                <c:formatCode>General</c:formatCode>
                <c:ptCount val="3"/>
                <c:pt idx="0">
                  <c:v>102</c:v>
                </c:pt>
                <c:pt idx="1">
                  <c:v>91</c:v>
                </c:pt>
                <c:pt idx="2">
                  <c:v>57</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[sample_enrollment_data.xlsx]pivot_analysis!PivotTable3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Enrollment Blockers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stacked"/>
        <c:varyColors val="0"/>
        <c:ser>
          <c:idx val="1"/>
          <c:order val="0"/>
          <c:tx>
            <c:strRef>
              <c:f>pivot_analysis!$B$9</c:f>
              <c:strCache>
                <c:ptCount val="1"/>
                <c:pt idx="0">
                  <c:v>Total</c:v>
                </c:pt>
              </c:strCache>
            </c:strRef>
          </c:tx>
          <c:spPr>
            <a:solidFill>
              <a:schemeClr val="accent2"/>
            </a:solidFill>
            <a:ln>
              <a:noFill/>
            </a:ln>
            <a:effectLst/>
          </c:spPr>
          <c:invertIfNegative val="0"/>
          <c:cat>
            <c:strRef>
              <c:f>pivot_analysis!$A$10:$A$15</c:f>
              <c:strCache>
                <c:ptCount val="5"/>
                <c:pt idx="0">
                  <c:v>Credentialing not completed</c:v>
                </c:pt>
                <c:pt idx="1">
                  <c:v>Wrong payer ID</c:v>
                </c:pt>
                <c:pt idx="2">
                  <c:v>Credentialed NPI mismatch</c:v>
                </c:pt>
                <c:pt idx="3">
                  <c:v>Individual NPI used instead of group NPI</c:v>
                </c:pt>
                <c:pt idx="4">
                  <c:v>Clearinghouse portal not updated</c:v>
                </c:pt>
              </c:strCache>
            </c:strRef>
          </c:cat>
          <c:val>
            <c:numRef>
              <c:f>pivot_analysis!$B$10:$B$15</c:f>
              <c:numCache>
                <c:formatCode>General</c:formatCode>
                <c:ptCount val="5"/>
                <c:pt idx="0">
                  <c:v>20</c:v>
                </c:pt>
                <c:pt idx="1">
                  <c:v>23</c:v>
                </c:pt>
                <c:pt idx="2">
                  <c:v>25</c:v>
                </c:pt>
                <c:pt idx="3">
                  <c:v>34</c:v>
                </c:pt>
                <c:pt idx="4">
                  <c:v>35</c:v>
                </c:pt>
              </c:numCache>
            </c:numRef>
          </c:val>
        </c:ser>
        <c:dLbls>
          <c:showLegendKey val="0"/>
          <c:showVal val="0"/>
          <c:showCatName val="0"/>
          <c:showSerName val="0"/>
          <c:showPercent val="0"/>
          <c:showBubbleSize val="0"/>
        </c:dLbls>
        <c:gapWidth val="150"/>
        <c:overlap val="100"/>
        <c:axId val="388761232"/>
        <c:axId val="315165376"/>
      </c:barChart>
      <c:catAx>
        <c:axId val="38876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165376"/>
        <c:crosses val="autoZero"/>
        <c:auto val="1"/>
        <c:lblAlgn val="ctr"/>
        <c:lblOffset val="100"/>
        <c:noMultiLvlLbl val="0"/>
      </c:catAx>
      <c:valAx>
        <c:axId val="315165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61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[sample_enrollment_data.xlsx]pivot_analysis!PivotTable4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Blocked Records By Payer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stacked"/>
        <c:varyColors val="0"/>
        <c:ser>
          <c:idx val="0"/>
          <c:order val="0"/>
          <c:tx>
            <c:strRef>
              <c:f>pivot_analysis!$E$2:$E$3</c:f>
              <c:strCache>
                <c:ptCount val="1"/>
                <c:pt idx="0">
                  <c:v>Blocked</c:v>
                </c:pt>
              </c:strCache>
            </c:strRef>
          </c:tx>
          <c:spPr>
            <a:solidFill>
              <a:schemeClr val="accent1"/>
            </a:solidFill>
            <a:ln>
              <a:noFill/>
            </a:ln>
            <a:effectLst/>
          </c:spPr>
          <c:invertIfNegative val="0"/>
          <c:cat>
            <c:strRef>
              <c:f>pivot_analysis!$D$4:$D$11</c:f>
              <c:strCache>
                <c:ptCount val="7"/>
                <c:pt idx="0">
                  <c:v>Aetna</c:v>
                </c:pt>
                <c:pt idx="1">
                  <c:v>Medicaid</c:v>
                </c:pt>
                <c:pt idx="2">
                  <c:v>Medicare</c:v>
                </c:pt>
                <c:pt idx="3">
                  <c:v>United Healthcare</c:v>
                </c:pt>
                <c:pt idx="4">
                  <c:v>Humana</c:v>
                </c:pt>
                <c:pt idx="5">
                  <c:v>Cigna</c:v>
                </c:pt>
                <c:pt idx="6">
                  <c:v>Blue Cross</c:v>
                </c:pt>
              </c:strCache>
            </c:strRef>
          </c:cat>
          <c:val>
            <c:numRef>
              <c:f>pivot_analysis!$E$4:$E$11</c:f>
              <c:numCache>
                <c:formatCode>General</c:formatCode>
                <c:ptCount val="7"/>
                <c:pt idx="0">
                  <c:v>11</c:v>
                </c:pt>
                <c:pt idx="1">
                  <c:v>12</c:v>
                </c:pt>
                <c:pt idx="2">
                  <c:v>12</c:v>
                </c:pt>
                <c:pt idx="3">
                  <c:v>15</c:v>
                </c:pt>
                <c:pt idx="4">
                  <c:v>16</c:v>
                </c:pt>
                <c:pt idx="5">
                  <c:v>16</c:v>
                </c:pt>
                <c:pt idx="6">
                  <c:v>20</c:v>
                </c:pt>
              </c:numCache>
            </c:numRef>
          </c:val>
        </c:ser>
        <c:dLbls>
          <c:showLegendKey val="0"/>
          <c:showVal val="0"/>
          <c:showCatName val="0"/>
          <c:showSerName val="0"/>
          <c:showPercent val="0"/>
          <c:showBubbleSize val="0"/>
        </c:dLbls>
        <c:gapWidth val="150"/>
        <c:overlap val="100"/>
        <c:axId val="309619064"/>
        <c:axId val="314957720"/>
      </c:barChart>
      <c:catAx>
        <c:axId val="309619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57720"/>
        <c:crosses val="autoZero"/>
        <c:auto val="1"/>
        <c:lblAlgn val="ctr"/>
        <c:lblOffset val="100"/>
        <c:noMultiLvlLbl val="0"/>
      </c:catAx>
      <c:valAx>
        <c:axId val="314957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6190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[sample_enrollment_data.xlsx]pivot_analysis!PivotTable5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SLA Breaches by Payer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stacked"/>
        <c:varyColors val="0"/>
        <c:ser>
          <c:idx val="0"/>
          <c:order val="0"/>
          <c:tx>
            <c:strRef>
              <c:f>pivot_analysis!$E$14:$E$15</c:f>
              <c:strCache>
                <c:ptCount val="1"/>
                <c:pt idx="0">
                  <c:v>SLA Breached</c:v>
                </c:pt>
              </c:strCache>
            </c:strRef>
          </c:tx>
          <c:spPr>
            <a:solidFill>
              <a:schemeClr val="accent1"/>
            </a:solidFill>
            <a:ln>
              <a:noFill/>
            </a:ln>
            <a:effectLst/>
          </c:spPr>
          <c:invertIfNegative val="0"/>
          <c:cat>
            <c:strRef>
              <c:f>pivot_analysis!$D$16:$D$23</c:f>
              <c:strCache>
                <c:ptCount val="7"/>
                <c:pt idx="0">
                  <c:v>Medicaid</c:v>
                </c:pt>
                <c:pt idx="1">
                  <c:v>Blue Cross</c:v>
                </c:pt>
                <c:pt idx="2">
                  <c:v>Medicare</c:v>
                </c:pt>
                <c:pt idx="3">
                  <c:v>Aetna</c:v>
                </c:pt>
                <c:pt idx="4">
                  <c:v>United Healthcare</c:v>
                </c:pt>
                <c:pt idx="5">
                  <c:v>Cigna</c:v>
                </c:pt>
                <c:pt idx="6">
                  <c:v>Humana</c:v>
                </c:pt>
              </c:strCache>
            </c:strRef>
          </c:cat>
          <c:val>
            <c:numRef>
              <c:f>pivot_analysis!$E$16:$E$23</c:f>
              <c:numCache>
                <c:formatCode>General</c:formatCode>
                <c:ptCount val="7"/>
                <c:pt idx="0">
                  <c:v>14</c:v>
                </c:pt>
                <c:pt idx="1">
                  <c:v>23</c:v>
                </c:pt>
                <c:pt idx="2">
                  <c:v>23</c:v>
                </c:pt>
                <c:pt idx="3">
                  <c:v>23</c:v>
                </c:pt>
                <c:pt idx="4">
                  <c:v>24</c:v>
                </c:pt>
                <c:pt idx="5">
                  <c:v>25</c:v>
                </c:pt>
                <c:pt idx="6">
                  <c:v>26</c:v>
                </c:pt>
              </c:numCache>
            </c:numRef>
          </c:val>
        </c:ser>
        <c:dLbls>
          <c:showLegendKey val="0"/>
          <c:showVal val="0"/>
          <c:showCatName val="0"/>
          <c:showSerName val="0"/>
          <c:showPercent val="0"/>
          <c:showBubbleSize val="0"/>
        </c:dLbls>
        <c:gapWidth val="150"/>
        <c:overlap val="100"/>
        <c:axId val="389063088"/>
        <c:axId val="315970816"/>
      </c:barChart>
      <c:catAx>
        <c:axId val="38906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70816"/>
        <c:crosses val="autoZero"/>
        <c:auto val="1"/>
        <c:lblAlgn val="ctr"/>
        <c:lblOffset val="100"/>
        <c:noMultiLvlLbl val="0"/>
      </c:catAx>
      <c:valAx>
        <c:axId val="31597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0630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Claims Vs ERA Readiness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summary_metrics!$D$13:$D$15</c:f>
              <c:strCache>
                <c:ptCount val="3"/>
                <c:pt idx="0">
                  <c:v>Readiness Type</c:v>
                </c:pt>
                <c:pt idx="1">
                  <c:v>Claims Ready</c:v>
                </c:pt>
                <c:pt idx="2">
                  <c:v>ERA Ready </c:v>
                </c:pt>
              </c:strCache>
            </c:strRef>
          </c:cat>
          <c:val>
            <c:numRef>
              <c:f>summary_metrics!$E$13:$E$15</c:f>
              <c:numCache>
                <c:formatCode>General</c:formatCode>
                <c:ptCount val="3"/>
                <c:pt idx="1">
                  <c:v>48</c:v>
                </c:pt>
                <c:pt idx="2">
                  <c:v>38</c:v>
                </c:pt>
              </c:numCache>
            </c:numRef>
          </c:val>
        </c:ser>
        <c:dLbls>
          <c:showLegendKey val="0"/>
          <c:showVal val="0"/>
          <c:showCatName val="0"/>
          <c:showSerName val="0"/>
          <c:showPercent val="0"/>
          <c:showBubbleSize val="0"/>
        </c:dLbls>
        <c:gapWidth val="150"/>
        <c:overlap val="100"/>
        <c:axId val="198271256"/>
        <c:axId val="198270864"/>
      </c:barChart>
      <c:catAx>
        <c:axId val="198271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0864"/>
        <c:crosses val="autoZero"/>
        <c:auto val="1"/>
        <c:lblAlgn val="ctr"/>
        <c:lblOffset val="100"/>
        <c:noMultiLvlLbl val="0"/>
      </c:catAx>
      <c:valAx>
        <c:axId val="19827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1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[sample_enrollment_data.xlsx]pivot_analysis!PivotTable6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Action Required by Owner</a:t>
            </a:r>
          </a:p>
        </c:rich>
      </c:tx>
      <c:layout>
        <c:manualLayout>
          <c:xMode val="edge"/>
          <c:yMode val="edge"/>
          <c:x val="0.33193080377364603"/>
          <c:y val="0.1214727544533897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0.36049396313895793"/>
          <c:y val="0.30834861115661721"/>
          <c:w val="0.40921702470149462"/>
          <c:h val="0.54757707333795291"/>
        </c:manualLayout>
      </c:layout>
      <c:barChart>
        <c:barDir val="bar"/>
        <c:grouping val="stacked"/>
        <c:varyColors val="0"/>
        <c:ser>
          <c:idx val="0"/>
          <c:order val="0"/>
          <c:tx>
            <c:strRef>
              <c:f>pivot_analysis!$B$26:$B$27</c:f>
              <c:strCache>
                <c:ptCount val="1"/>
                <c:pt idx="0">
                  <c:v>Blocked</c:v>
                </c:pt>
              </c:strCache>
            </c:strRef>
          </c:tx>
          <c:spPr>
            <a:solidFill>
              <a:schemeClr val="accent1"/>
            </a:solidFill>
            <a:ln>
              <a:noFill/>
            </a:ln>
            <a:effectLst/>
          </c:spPr>
          <c:invertIfNegative val="0"/>
          <c:cat>
            <c:strRef>
              <c:f>pivot_analysis!$A$28:$A$33</c:f>
              <c:strCache>
                <c:ptCount val="5"/>
                <c:pt idx="0">
                  <c:v>k19731</c:v>
                </c:pt>
                <c:pt idx="1">
                  <c:v>nt00234</c:v>
                </c:pt>
                <c:pt idx="2">
                  <c:v>ew53009</c:v>
                </c:pt>
                <c:pt idx="3">
                  <c:v>rc48215</c:v>
                </c:pt>
                <c:pt idx="4">
                  <c:v>nt92346</c:v>
                </c:pt>
              </c:strCache>
            </c:strRef>
          </c:cat>
          <c:val>
            <c:numRef>
              <c:f>pivot_analysis!$B$28:$B$33</c:f>
              <c:numCache>
                <c:formatCode>General</c:formatCode>
                <c:ptCount val="5"/>
                <c:pt idx="0">
                  <c:v>19</c:v>
                </c:pt>
                <c:pt idx="1">
                  <c:v>15</c:v>
                </c:pt>
                <c:pt idx="2">
                  <c:v>17</c:v>
                </c:pt>
                <c:pt idx="3">
                  <c:v>24</c:v>
                </c:pt>
                <c:pt idx="4">
                  <c:v>27</c:v>
                </c:pt>
              </c:numCache>
            </c:numRef>
          </c:val>
        </c:ser>
        <c:ser>
          <c:idx val="1"/>
          <c:order val="1"/>
          <c:tx>
            <c:strRef>
              <c:f>pivot_analysis!$C$26:$C$27</c:f>
              <c:strCache>
                <c:ptCount val="1"/>
                <c:pt idx="0">
                  <c:v>Pending</c:v>
                </c:pt>
              </c:strCache>
            </c:strRef>
          </c:tx>
          <c:spPr>
            <a:solidFill>
              <a:schemeClr val="accent2"/>
            </a:solidFill>
            <a:ln>
              <a:noFill/>
            </a:ln>
            <a:effectLst/>
          </c:spPr>
          <c:invertIfNegative val="0"/>
          <c:cat>
            <c:strRef>
              <c:f>pivot_analysis!$A$28:$A$33</c:f>
              <c:strCache>
                <c:ptCount val="5"/>
                <c:pt idx="0">
                  <c:v>k19731</c:v>
                </c:pt>
                <c:pt idx="1">
                  <c:v>nt00234</c:v>
                </c:pt>
                <c:pt idx="2">
                  <c:v>ew53009</c:v>
                </c:pt>
                <c:pt idx="3">
                  <c:v>rc48215</c:v>
                </c:pt>
                <c:pt idx="4">
                  <c:v>nt92346</c:v>
                </c:pt>
              </c:strCache>
            </c:strRef>
          </c:cat>
          <c:val>
            <c:numRef>
              <c:f>pivot_analysis!$C$28:$C$33</c:f>
              <c:numCache>
                <c:formatCode>General</c:formatCode>
                <c:ptCount val="5"/>
                <c:pt idx="0">
                  <c:v>14</c:v>
                </c:pt>
                <c:pt idx="1">
                  <c:v>19</c:v>
                </c:pt>
                <c:pt idx="2">
                  <c:v>19</c:v>
                </c:pt>
                <c:pt idx="3">
                  <c:v>20</c:v>
                </c:pt>
                <c:pt idx="4">
                  <c:v>19</c:v>
                </c:pt>
              </c:numCache>
            </c:numRef>
          </c:val>
        </c:ser>
        <c:dLbls>
          <c:showLegendKey val="0"/>
          <c:showVal val="0"/>
          <c:showCatName val="0"/>
          <c:showSerName val="0"/>
          <c:showPercent val="0"/>
          <c:showBubbleSize val="0"/>
        </c:dLbls>
        <c:gapWidth val="150"/>
        <c:overlap val="100"/>
        <c:axId val="389653552"/>
        <c:axId val="389657864"/>
      </c:barChart>
      <c:catAx>
        <c:axId val="38965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57864"/>
        <c:crosses val="autoZero"/>
        <c:auto val="1"/>
        <c:lblAlgn val="ctr"/>
        <c:lblOffset val="100"/>
        <c:noMultiLvlLbl val="0"/>
      </c:catAx>
      <c:valAx>
        <c:axId val="389657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6535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33074</xdr:colOff>
      <xdr:row>10</xdr:row>
      <xdr:rowOff>72762</xdr:rowOff>
    </xdr:from>
    <xdr:to>
      <xdr:col>5</xdr:col>
      <xdr:colOff>171979</xdr:colOff>
      <xdr:row>26</xdr:row>
      <xdr:rowOff>0</xdr:rowOff>
    </xdr:to>
    <xdr:graphicFrame macro="">
      <xdr:nvGraphicFramePr>
        <xdr:cNvPr id="4" name="EnrollmentReadines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224896</xdr:colOff>
      <xdr:row>10</xdr:row>
      <xdr:rowOff>72761</xdr:rowOff>
    </xdr:from>
    <xdr:to>
      <xdr:col>11</xdr:col>
      <xdr:colOff>52916</xdr:colOff>
      <xdr:row>26</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103335</xdr:colOff>
      <xdr:row>10</xdr:row>
      <xdr:rowOff>71513</xdr:rowOff>
    </xdr:from>
    <xdr:to>
      <xdr:col>17</xdr:col>
      <xdr:colOff>13229</xdr:colOff>
      <xdr:row>25</xdr:row>
      <xdr:rowOff>171979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6615</xdr:colOff>
      <xdr:row>26</xdr:row>
      <xdr:rowOff>59954</xdr:rowOff>
    </xdr:from>
    <xdr:to>
      <xdr:col>5</xdr:col>
      <xdr:colOff>178594</xdr:colOff>
      <xdr:row>42</xdr:row>
      <xdr:rowOff>13230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232571</xdr:colOff>
      <xdr:row>26</xdr:row>
      <xdr:rowOff>68735</xdr:rowOff>
    </xdr:from>
    <xdr:to>
      <xdr:col>11</xdr:col>
      <xdr:colOff>66147</xdr:colOff>
      <xdr:row>42</xdr:row>
      <xdr:rowOff>26458</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113831</xdr:colOff>
      <xdr:row>26</xdr:row>
      <xdr:rowOff>52463</xdr:rowOff>
    </xdr:from>
    <xdr:to>
      <xdr:col>17</xdr:col>
      <xdr:colOff>19844</xdr:colOff>
      <xdr:row>42</xdr:row>
      <xdr:rowOff>33073</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245341</xdr:colOff>
      <xdr:row>17</xdr:row>
      <xdr:rowOff>28864</xdr:rowOff>
    </xdr:from>
    <xdr:to>
      <xdr:col>2</xdr:col>
      <xdr:colOff>476250</xdr:colOff>
      <xdr:row>20</xdr:row>
      <xdr:rowOff>86591</xdr:rowOff>
    </xdr:to>
    <xdr:sp macro="" textlink="">
      <xdr:nvSpPr>
        <xdr:cNvPr id="10" name="TextBox 9"/>
        <xdr:cNvSpPr txBox="1"/>
      </xdr:nvSpPr>
      <xdr:spPr>
        <a:xfrm>
          <a:off x="865909" y="3102841"/>
          <a:ext cx="851477" cy="6205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250</a:t>
          </a:r>
        </a:p>
        <a:p>
          <a:r>
            <a:rPr lang="en-US" sz="1100" b="1"/>
            <a:t>       Total</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PWORLD\OneDrive\Desktop\Healthcare-analytics-portfolio\01_enrollment_tracker_excel\dataset\sample_enrollment_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178.901353587964" createdVersion="5" refreshedVersion="5" minRefreshableVersion="3" recordCount="250">
  <cacheSource type="worksheet">
    <worksheetSource name="tblEnrollment" r:id="rId2"/>
  </cacheSource>
  <cacheFields count="35">
    <cacheField name="Record ID" numFmtId="0">
      <sharedItems/>
    </cacheField>
    <cacheField name="Practice Name" numFmtId="0">
      <sharedItems/>
    </cacheField>
    <cacheField name="Provider Name" numFmtId="0">
      <sharedItems/>
    </cacheField>
    <cacheField name="Individual NPI" numFmtId="0">
      <sharedItems/>
    </cacheField>
    <cacheField name="Group NPI" numFmtId="0">
      <sharedItems/>
    </cacheField>
    <cacheField name="Credentialed NPI" numFmtId="0">
      <sharedItems/>
    </cacheField>
    <cacheField name="Enrolled NPI" numFmtId="0">
      <sharedItems/>
    </cacheField>
    <cacheField name="Tax ID" numFmtId="0">
      <sharedItems/>
    </cacheField>
    <cacheField name="Payer Name" numFmtId="0">
      <sharedItems count="8">
        <s v="Medicaid"/>
        <s v="Medicare"/>
        <s v="Cigna"/>
        <s v="United Healthcare"/>
        <s v="Aetna"/>
        <s v="Humana"/>
        <s v="Blue Cross"/>
        <s v="United Healthacare" u="1"/>
      </sharedItems>
    </cacheField>
    <cacheField name="Payer ID" numFmtId="0">
      <sharedItems/>
    </cacheField>
    <cacheField name="Payer Type" numFmtId="0">
      <sharedItems/>
    </cacheField>
    <cacheField name="PTAN / Provider Number" numFmtId="0">
      <sharedItems/>
    </cacheField>
    <cacheField name="Enrollment Type" numFmtId="0">
      <sharedItems count="3">
        <s v="Claims"/>
        <s v="Claims and ERA"/>
        <s v="ERA"/>
      </sharedItems>
    </cacheField>
    <cacheField name="Credentialing Status" numFmtId="0">
      <sharedItems/>
    </cacheField>
    <cacheField name="Claims Enrollment Status" numFmtId="0">
      <sharedItems/>
    </cacheField>
    <cacheField name="ERA Enrollment Status" numFmtId="0">
      <sharedItems/>
    </cacheField>
    <cacheField name="Clearinghouse Portal Updated" numFmtId="0">
      <sharedItems/>
    </cacheField>
    <cacheField name="Clearinghouse Configuration Status" numFmtId="0">
      <sharedItems/>
    </cacheField>
    <cacheField name="Submitted Date" numFmtId="164">
      <sharedItems containsSemiMixedTypes="0" containsNonDate="0" containsDate="1" containsString="0" minDate="2026-01-16T00:00:00" maxDate="2026-06-03T00:00:00"/>
    </cacheField>
    <cacheField name="Approved Date" numFmtId="164">
      <sharedItems containsNonDate="0" containsDate="1" containsString="0" containsBlank="1" minDate="2026-02-05T00:00:00" maxDate="2026-06-04T00:00:00"/>
    </cacheField>
    <cacheField name="Current Status" numFmtId="0">
      <sharedItems count="3">
        <s v="Blocked"/>
        <s v="Pending"/>
        <s v="Ready"/>
      </sharedItems>
    </cacheField>
    <cacheField name="Blocker Reason" numFmtId="0">
      <sharedItems count="12">
        <s v="Wrong payer ID"/>
        <s v="Clearinghouse portal not updated"/>
        <s v="No blocker"/>
        <s v="Missing payer approval"/>
        <s v="ERA setup not completed"/>
        <s v="Medicare additional enrollment missing"/>
        <s v="Incorrect PTAN/provider number"/>
        <s v="Credentialed NPI mismatch"/>
        <s v="Credentialing not completed"/>
        <s v="Individual NPI used instead of group NPI"/>
        <s v="Old payer ID used"/>
        <s v="Medicaid additional enrollment missing"/>
      </sharedItems>
    </cacheField>
    <cacheField name="Assigned Owner" numFmtId="0">
      <sharedItems count="8">
        <s v="nt92346"/>
        <s v="ew53009"/>
        <s v="rc48215"/>
        <s v="nt00234"/>
        <s v="k19731"/>
        <s v="ns" u="1"/>
        <s v="NC00234" u="1"/>
        <s v="Js19731" u="1"/>
      </sharedItems>
    </cacheField>
    <cacheField name="Follow-up Date" numFmtId="164">
      <sharedItems containsSemiMixedTypes="0" containsNonDate="0" containsDate="1" containsString="0" minDate="2026-06-03T00:00:00" maxDate="2026-06-15T00:00:00"/>
    </cacheField>
    <cacheField name="Notes" numFmtId="0">
      <sharedItems/>
    </cacheField>
    <cacheField name="Aging Days" numFmtId="0">
      <sharedItems containsSemiMixedTypes="0" containsString="0" containsNumber="1" containsInteger="1" minValue="-1" maxValue="138"/>
    </cacheField>
    <cacheField name="SLA Status" numFmtId="0">
      <sharedItems count="3">
        <s v="SLA Breached"/>
        <s v="Completed"/>
        <s v="Within SLA"/>
      </sharedItems>
    </cacheField>
    <cacheField name="NPI Match Status" numFmtId="0">
      <sharedItems/>
    </cacheField>
    <cacheField name="Provider Identifier Issue Flag" numFmtId="0">
      <sharedItems/>
    </cacheField>
    <cacheField name="Payer Routing issue Flag" numFmtId="0">
      <sharedItems/>
    </cacheField>
    <cacheField name="Clearinghouse gap Flag" numFmtId="0">
      <sharedItems/>
    </cacheField>
    <cacheField name="Government Payer Issue Flag" numFmtId="0">
      <sharedItems/>
    </cacheField>
    <cacheField name="Claims Ready Flag" numFmtId="0">
      <sharedItems count="3">
        <s v="Not Ready"/>
        <s v="Not Applicable"/>
        <s v="Ready"/>
      </sharedItems>
    </cacheField>
    <cacheField name="ERA Ready Flag" numFmtId="0">
      <sharedItems count="3">
        <s v="Not Applicable"/>
        <s v="Not Ready"/>
        <s v="Ready"/>
      </sharedItems>
    </cacheField>
    <cacheField name="Action Required Flag" numFmtId="0">
      <sharedItems count="2">
        <s v="Yes"/>
        <s v="No"/>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0">
  <r>
    <s v="ENR-0001"/>
    <s v="Eastwood Pulmonary"/>
    <s v="Dr. Rohan Menon"/>
    <s v="IND-NPI-1001"/>
    <s v="GRP-NPI-9018"/>
    <s v="GRP-NPI-9018"/>
    <s v="GRP-NPI-9018"/>
    <s v="SYN-TIN-012"/>
    <x v="0"/>
    <s v="MCD-OLD"/>
    <s v="Government"/>
    <s v="PTAN-0001"/>
    <x v="0"/>
    <s v="Completed"/>
    <s v="Rejected"/>
    <s v="Not Required"/>
    <s v="Yes"/>
    <s v="Issue Found"/>
    <d v="2026-05-03T00:00:00"/>
    <m/>
    <x v="0"/>
    <x v="0"/>
    <x v="0"/>
    <d v="2026-06-03T00:00:00"/>
    <s v="Incorrect payer ID was used for enrollment or routing."/>
    <n v="31"/>
    <x v="0"/>
    <s v="NPI Match"/>
    <s v="No"/>
    <s v="Yes"/>
    <s v="No"/>
    <s v="No"/>
    <x v="0"/>
    <x v="0"/>
    <x v="0"/>
  </r>
  <r>
    <s v="ENR-0002"/>
    <s v="Cedar Grove Clinic"/>
    <s v="Dr. Lily Scott"/>
    <s v="IND-NPI-1002"/>
    <s v="GRP-NPI-9039"/>
    <s v="GRP-NPI-9039"/>
    <s v="GRP-NPI-9039"/>
    <s v="SYN-TIN-036"/>
    <x v="1"/>
    <s v="WRONG-MED"/>
    <s v="Government"/>
    <s v="PTAN-0002"/>
    <x v="1"/>
    <s v="Completed"/>
    <s v="Rejected"/>
    <s v="Rejected"/>
    <s v="Yes"/>
    <s v="Issue Found"/>
    <d v="2026-03-12T00:00:00"/>
    <m/>
    <x v="0"/>
    <x v="0"/>
    <x v="1"/>
    <d v="2026-06-10T00:00:00"/>
    <s v="Incorrect payer ID was used for enrollment or routing."/>
    <n v="83"/>
    <x v="0"/>
    <s v="NPI Match"/>
    <s v="No"/>
    <s v="Yes"/>
    <s v="No"/>
    <s v="No"/>
    <x v="0"/>
    <x v="1"/>
    <x v="0"/>
  </r>
  <r>
    <s v="ENR-0003"/>
    <s v="Liberty Primary Care"/>
    <s v="Dr. Asha Singh"/>
    <s v="IND-NPI-1003"/>
    <s v="GRP-NPI-9011"/>
    <s v="GRP-NPI-9011"/>
    <s v="GRP-NPI-9011"/>
    <s v="SYN-TIN-012"/>
    <x v="2"/>
    <s v="CIG001"/>
    <s v="Commercial"/>
    <s v="NA"/>
    <x v="2"/>
    <s v="Completed"/>
    <s v="Not Required"/>
    <s v="Pending"/>
    <s v="No"/>
    <s v="Pending"/>
    <d v="2026-03-11T00:00:00"/>
    <m/>
    <x v="1"/>
    <x v="1"/>
    <x v="0"/>
    <d v="2026-06-08T00:00:00"/>
    <s v="Clearinghouse route or portal setup needs update before go-live."/>
    <n v="84"/>
    <x v="0"/>
    <s v="NPI Match"/>
    <s v="No"/>
    <s v="No"/>
    <s v="Yes"/>
    <s v="No"/>
    <x v="1"/>
    <x v="1"/>
    <x v="0"/>
  </r>
  <r>
    <s v="ENR-0004"/>
    <s v="Maple Leaf Urgent Care"/>
    <s v="Dr. Emily Gray"/>
    <s v="IND-NPI-1004"/>
    <s v="GRP-NPI-9023"/>
    <s v="GRP-NPI-9023"/>
    <s v="GRP-NPI-9023"/>
    <s v="SYN-TIN-011"/>
    <x v="3"/>
    <s v="UHC001"/>
    <s v="Commercial"/>
    <s v="NA"/>
    <x v="2"/>
    <s v="Completed"/>
    <s v="Not Required"/>
    <s v="Approved"/>
    <s v="Yes"/>
    <s v="Completed"/>
    <d v="2026-05-12T00:00:00"/>
    <d v="2026-05-27T00:00:00"/>
    <x v="2"/>
    <x v="2"/>
    <x v="2"/>
    <d v="2026-06-04T00:00:00"/>
    <s v="Record is ready for expected transaction flow."/>
    <n v="15"/>
    <x v="1"/>
    <s v="NPI Match"/>
    <s v="No"/>
    <s v="No"/>
    <s v="No"/>
    <s v="No"/>
    <x v="1"/>
    <x v="2"/>
    <x v="1"/>
  </r>
  <r>
    <s v="ENR-0005"/>
    <s v="Sunrise Family Medicine"/>
    <s v="Dr. Grace Das"/>
    <s v="IND-NPI-1005"/>
    <s v="GRP-NPI-9041"/>
    <s v="GRP-NPI-9041"/>
    <s v="GRP-NPI-9041"/>
    <s v="SYN-TIN-006"/>
    <x v="3"/>
    <s v="UHC001"/>
    <s v="Commercial"/>
    <s v="NA"/>
    <x v="1"/>
    <s v="Completed"/>
    <s v="Approved"/>
    <s v="Pending"/>
    <s v="No"/>
    <s v="Pending"/>
    <d v="2026-03-05T00:00:00"/>
    <m/>
    <x v="1"/>
    <x v="1"/>
    <x v="0"/>
    <d v="2026-06-14T00:00:00"/>
    <s v="Clearinghouse route or portal setup needs update before go-live."/>
    <n v="90"/>
    <x v="0"/>
    <s v="NPI Match"/>
    <s v="No"/>
    <s v="No"/>
    <s v="Yes"/>
    <s v="No"/>
    <x v="0"/>
    <x v="1"/>
    <x v="0"/>
  </r>
  <r>
    <s v="ENR-0006"/>
    <s v="Coral Springs Primary Care"/>
    <s v="Dr. Lily Singh"/>
    <s v="IND-NPI-1006"/>
    <s v="GRP-NPI-9019"/>
    <s v="GRP-NPI-9019"/>
    <s v="GRP-NPI-9019"/>
    <s v="SYN-TIN-047"/>
    <x v="1"/>
    <s v="MED001"/>
    <s v="Government"/>
    <s v="PTAN-0006"/>
    <x v="1"/>
    <s v="Completed"/>
    <s v="Pending"/>
    <s v="Pending"/>
    <s v="Yes"/>
    <s v="In Progress"/>
    <d v="2026-04-22T00:00:00"/>
    <m/>
    <x v="1"/>
    <x v="3"/>
    <x v="2"/>
    <d v="2026-06-07T00:00:00"/>
    <s v="Waiting on payer approval or payer response."/>
    <n v="42"/>
    <x v="0"/>
    <s v="NPI Match"/>
    <s v="No"/>
    <s v="No"/>
    <s v="No"/>
    <s v="No"/>
    <x v="0"/>
    <x v="1"/>
    <x v="0"/>
  </r>
  <r>
    <s v="ENR-0007"/>
    <s v="BrightCare Cardiology"/>
    <s v="Dr. Elena Gray"/>
    <s v="IND-NPI-1007"/>
    <s v="GRP-NPI-9014"/>
    <s v="GRP-NPI-9014"/>
    <s v="GRP-NPI-9014"/>
    <s v="SYN-TIN-032"/>
    <x v="2"/>
    <s v="CIG001"/>
    <s v="Commercial"/>
    <s v="NA"/>
    <x v="2"/>
    <s v="Completed"/>
    <s v="Not Required"/>
    <s v="Pending"/>
    <s v="Yes"/>
    <s v="In Progress"/>
    <d v="2026-02-02T00:00:00"/>
    <m/>
    <x v="1"/>
    <x v="4"/>
    <x v="3"/>
    <d v="2026-06-12T00:00:00"/>
    <s v="ERA enrollment or routing is not fully completed."/>
    <n v="121"/>
    <x v="0"/>
    <s v="NPI Match"/>
    <s v="No"/>
    <s v="No"/>
    <s v="No"/>
    <s v="No"/>
    <x v="1"/>
    <x v="1"/>
    <x v="0"/>
  </r>
  <r>
    <s v="ENR-0008"/>
    <s v="BrightCare Cardiology"/>
    <s v="Dr. Aria Kapoor"/>
    <s v="IND-NPI-1008"/>
    <s v="GRP-NPI-9018"/>
    <s v="GRP-NPI-9018"/>
    <s v="GRP-NPI-9018"/>
    <s v="SYN-TIN-005"/>
    <x v="2"/>
    <s v="CIG001"/>
    <s v="Commercial"/>
    <s v="NA"/>
    <x v="1"/>
    <s v="Completed"/>
    <s v="Approved"/>
    <s v="Approved"/>
    <s v="Yes"/>
    <s v="Completed"/>
    <d v="2026-04-08T00:00:00"/>
    <d v="2026-04-28T00:00:00"/>
    <x v="2"/>
    <x v="2"/>
    <x v="3"/>
    <d v="2026-06-03T00:00:00"/>
    <s v="Record is ready for expected transaction flow."/>
    <n v="20"/>
    <x v="1"/>
    <s v="NPI Match"/>
    <s v="No"/>
    <s v="No"/>
    <s v="No"/>
    <s v="No"/>
    <x v="2"/>
    <x v="2"/>
    <x v="1"/>
  </r>
  <r>
    <s v="ENR-0009"/>
    <s v="Liberty Primary Care"/>
    <s v="Dr. Kevin Kapoor"/>
    <s v="IND-NPI-1009"/>
    <s v="GRP-NPI-9018"/>
    <s v="GRP-NPI-9018"/>
    <s v="GRP-NPI-9018"/>
    <s v="SYN-TIN-051"/>
    <x v="1"/>
    <s v="MED001"/>
    <s v="Government"/>
    <s v="PTAN-0009"/>
    <x v="0"/>
    <s v="Completed"/>
    <s v="Rejected"/>
    <s v="Not Required"/>
    <s v="Yes"/>
    <s v="In Progress"/>
    <d v="2026-04-05T00:00:00"/>
    <m/>
    <x v="1"/>
    <x v="5"/>
    <x v="2"/>
    <d v="2026-06-06T00:00:00"/>
    <s v="Medicare requires additional enrollment after credentialing."/>
    <n v="59"/>
    <x v="0"/>
    <s v="NPI Match"/>
    <s v="No"/>
    <s v="No"/>
    <s v="No"/>
    <s v="Yes"/>
    <x v="0"/>
    <x v="0"/>
    <x v="0"/>
  </r>
  <r>
    <s v="ENR-0010"/>
    <s v="Stonebridge Family Medicine"/>
    <s v="Dr. Aria Wilson"/>
    <s v="IND-NPI-1010"/>
    <s v="GRP-NPI-9017"/>
    <s v="GRP-NPI-9017"/>
    <s v="GRP-NPI-9017"/>
    <s v="SYN-TIN-047"/>
    <x v="0"/>
    <s v="MCD002"/>
    <s v="Government"/>
    <s v="PTAN-WRONG"/>
    <x v="0"/>
    <s v="Completed"/>
    <s v="Rejected"/>
    <s v="Not Required"/>
    <s v="Yes"/>
    <s v="Issue Found"/>
    <d v="2026-05-04T00:00:00"/>
    <m/>
    <x v="0"/>
    <x v="6"/>
    <x v="2"/>
    <d v="2026-06-12T00:00:00"/>
    <s v="PTAN or government payer provider number needs correction."/>
    <n v="30"/>
    <x v="0"/>
    <s v="NPI Match"/>
    <s v="Yes"/>
    <s v="No"/>
    <s v="No"/>
    <s v="Yes"/>
    <x v="0"/>
    <x v="0"/>
    <x v="0"/>
  </r>
  <r>
    <s v="ENR-0011"/>
    <s v="Oak Street Primary Care"/>
    <s v="Dr. Sara Scott"/>
    <s v="IND-NPI-1011"/>
    <s v="GRP-NPI-9032"/>
    <s v="GRP-NPI-9032"/>
    <s v="GRP-NPI-9032"/>
    <s v="SYN-TIN-055"/>
    <x v="1"/>
    <s v="MED001"/>
    <s v="Government"/>
    <s v="PTAN-0011"/>
    <x v="1"/>
    <s v="Completed"/>
    <s v="Pending"/>
    <s v="Pending"/>
    <s v="Yes"/>
    <s v="In Progress"/>
    <d v="2026-02-23T00:00:00"/>
    <m/>
    <x v="1"/>
    <x v="3"/>
    <x v="3"/>
    <d v="2026-06-13T00:00:00"/>
    <s v="Waiting on payer approval or payer response."/>
    <n v="100"/>
    <x v="0"/>
    <s v="NPI Match"/>
    <s v="No"/>
    <s v="No"/>
    <s v="No"/>
    <s v="No"/>
    <x v="0"/>
    <x v="1"/>
    <x v="0"/>
  </r>
  <r>
    <s v="ENR-0012"/>
    <s v="Parkside Oncology"/>
    <s v="Dr. Mark Kapoor"/>
    <s v="IND-NPI-1012"/>
    <s v="GRP-NPI-9025"/>
    <s v="GRP-NPI-9025"/>
    <s v="GRP-NPI-9136"/>
    <s v="SYN-TIN-035"/>
    <x v="3"/>
    <s v="UHC001"/>
    <s v="Commercial"/>
    <s v="NA"/>
    <x v="1"/>
    <s v="Completed"/>
    <s v="Rejected"/>
    <s v="Rejected"/>
    <s v="Yes"/>
    <s v="Issue Found"/>
    <d v="2026-01-17T00:00:00"/>
    <m/>
    <x v="0"/>
    <x v="7"/>
    <x v="0"/>
    <d v="2026-06-13T00:00:00"/>
    <s v="Enrolled NPI does not match the payer-credentialed NPI."/>
    <n v="137"/>
    <x v="0"/>
    <s v="NPI Mismatch"/>
    <s v="Yes"/>
    <s v="No"/>
    <s v="No"/>
    <s v="No"/>
    <x v="0"/>
    <x v="1"/>
    <x v="0"/>
  </r>
  <r>
    <s v="ENR-0013"/>
    <s v="Clearwater Pulmonary"/>
    <s v="Dr. Meera Shah"/>
    <s v="IND-NPI-1013"/>
    <s v="GRP-NPI-9019"/>
    <s v="GRP-NPI-9019"/>
    <s v="GRP-NPI-9019"/>
    <s v="SYN-TIN-014"/>
    <x v="4"/>
    <s v="AET001"/>
    <s v="Commercial"/>
    <s v="NA"/>
    <x v="0"/>
    <s v="Completed"/>
    <s v="Approved"/>
    <s v="Not Required"/>
    <s v="Yes"/>
    <s v="Completed"/>
    <d v="2026-03-23T00:00:00"/>
    <d v="2026-04-07T00:00:00"/>
    <x v="2"/>
    <x v="2"/>
    <x v="1"/>
    <d v="2026-06-05T00:00:00"/>
    <s v="Record is ready for expected transaction flow."/>
    <n v="15"/>
    <x v="1"/>
    <s v="NPI Match"/>
    <s v="No"/>
    <s v="No"/>
    <s v="No"/>
    <s v="No"/>
    <x v="2"/>
    <x v="0"/>
    <x v="1"/>
  </r>
  <r>
    <s v="ENR-0014"/>
    <s v="Harborview Pediatrics"/>
    <s v="Dr. Farah Das"/>
    <s v="IND-NPI-1014"/>
    <s v="GRP-NPI-9041"/>
    <s v="GRP-NPI-9041"/>
    <s v="GRP-NPI-9041"/>
    <s v="SYN-TIN-042"/>
    <x v="3"/>
    <s v="UHC001"/>
    <s v="Commercial"/>
    <s v="NA"/>
    <x v="1"/>
    <s v="Completed"/>
    <s v="Approved"/>
    <s v="Approved"/>
    <s v="Yes"/>
    <s v="Completed"/>
    <d v="2026-02-25T00:00:00"/>
    <d v="2026-03-12T00:00:00"/>
    <x v="2"/>
    <x v="2"/>
    <x v="0"/>
    <d v="2026-06-11T00:00:00"/>
    <s v="Record is ready for expected transaction flow."/>
    <n v="15"/>
    <x v="1"/>
    <s v="NPI Match"/>
    <s v="No"/>
    <s v="No"/>
    <s v="No"/>
    <s v="No"/>
    <x v="2"/>
    <x v="2"/>
    <x v="1"/>
  </r>
  <r>
    <s v="ENR-0015"/>
    <s v="Valley View Gastro"/>
    <s v="Dr. Neha Shah"/>
    <s v="IND-NPI-1015"/>
    <s v="GRP-NPI-9024"/>
    <s v="GRP-NPI-9024"/>
    <s v="GRP-NPI-9024"/>
    <s v="SYN-TIN-063"/>
    <x v="5"/>
    <s v="HUM001"/>
    <s v="Commercial"/>
    <s v="NA"/>
    <x v="1"/>
    <s v="Completed"/>
    <s v="Approved"/>
    <s v="Approved"/>
    <s v="Yes"/>
    <s v="Completed"/>
    <d v="2026-03-17T00:00:00"/>
    <d v="2026-04-02T00:00:00"/>
    <x v="2"/>
    <x v="2"/>
    <x v="0"/>
    <d v="2026-06-04T00:00:00"/>
    <s v="Record is ready for expected transaction flow."/>
    <n v="16"/>
    <x v="1"/>
    <s v="NPI Match"/>
    <s v="No"/>
    <s v="No"/>
    <s v="No"/>
    <s v="No"/>
    <x v="2"/>
    <x v="2"/>
    <x v="1"/>
  </r>
  <r>
    <s v="ENR-0016"/>
    <s v="Evergreen Urology"/>
    <s v="Dr. Mark Singh"/>
    <s v="IND-NPI-1016"/>
    <s v="GRP-NPI-9035"/>
    <s v="GRP-NPI-9035"/>
    <s v="GRP-NPI-9035"/>
    <s v="SYN-TIN-055"/>
    <x v="5"/>
    <s v="HUM001"/>
    <s v="Commercial"/>
    <s v="NA"/>
    <x v="0"/>
    <s v="In Progress"/>
    <s v="Not Started"/>
    <s v="Not Required"/>
    <s v="No"/>
    <s v="Not Started"/>
    <d v="2026-02-26T00:00:00"/>
    <m/>
    <x v="1"/>
    <x v="8"/>
    <x v="1"/>
    <d v="2026-06-07T00:00:00"/>
    <s v="Credentialing must be completed before enrollment can proceed."/>
    <n v="97"/>
    <x v="0"/>
    <s v="NPI Match"/>
    <s v="No"/>
    <s v="No"/>
    <s v="Yes"/>
    <s v="No"/>
    <x v="0"/>
    <x v="0"/>
    <x v="0"/>
  </r>
  <r>
    <s v="ENR-0017"/>
    <s v="Cedar Grove Clinic"/>
    <s v="Dr. Samir Singh"/>
    <s v="IND-NPI-1017"/>
    <s v="GRP-NPI-9045"/>
    <s v="GRP-NPI-9045"/>
    <s v="IND-NPI-1017"/>
    <s v="SYN-TIN-058"/>
    <x v="0"/>
    <s v="MCD002"/>
    <s v="Government"/>
    <s v="PTAN-0017"/>
    <x v="1"/>
    <s v="Completed"/>
    <s v="Rejected"/>
    <s v="Rejected"/>
    <s v="Yes"/>
    <s v="Issue Found"/>
    <d v="2026-04-20T00:00:00"/>
    <m/>
    <x v="0"/>
    <x v="9"/>
    <x v="1"/>
    <d v="2026-06-10T00:00:00"/>
    <s v="Enrollment was submitted under individual NPI instead of group billing NPI."/>
    <n v="44"/>
    <x v="0"/>
    <s v="NPI Mismatch"/>
    <s v="Yes"/>
    <s v="No"/>
    <s v="No"/>
    <s v="No"/>
    <x v="0"/>
    <x v="1"/>
    <x v="0"/>
  </r>
  <r>
    <s v="ENR-0018"/>
    <s v="Lakeside Women Health"/>
    <s v="Dr. Sanjay Patel"/>
    <s v="IND-NPI-1018"/>
    <s v="GRP-NPI-9005"/>
    <s v="GRP-NPI-9005"/>
    <s v="GRP-NPI-9138"/>
    <s v="SYN-TIN-008"/>
    <x v="6"/>
    <s v="BCBS01"/>
    <s v="Commercial"/>
    <s v="NA"/>
    <x v="0"/>
    <s v="Completed"/>
    <s v="Rejected"/>
    <s v="Not Required"/>
    <s v="Yes"/>
    <s v="Issue Found"/>
    <d v="2026-03-12T00:00:00"/>
    <m/>
    <x v="0"/>
    <x v="7"/>
    <x v="0"/>
    <d v="2026-06-03T00:00:00"/>
    <s v="Enrolled NPI does not match the payer-credentialed NPI."/>
    <n v="83"/>
    <x v="0"/>
    <s v="NPI Mismatch"/>
    <s v="Yes"/>
    <s v="No"/>
    <s v="No"/>
    <s v="No"/>
    <x v="0"/>
    <x v="0"/>
    <x v="0"/>
  </r>
  <r>
    <s v="ENR-0019"/>
    <s v="Oak Street Primary Care"/>
    <s v="Dr. Mark Nguyen"/>
    <s v="IND-NPI-1019"/>
    <s v="GRP-NPI-9003"/>
    <s v="GRP-NPI-9003"/>
    <s v="IND-NPI-1019"/>
    <s v="SYN-TIN-028"/>
    <x v="5"/>
    <s v="HUM001"/>
    <s v="Commercial"/>
    <s v="NA"/>
    <x v="2"/>
    <s v="Completed"/>
    <s v="Not Required"/>
    <s v="Rejected"/>
    <s v="Yes"/>
    <s v="Issue Found"/>
    <d v="2026-03-27T00:00:00"/>
    <m/>
    <x v="0"/>
    <x v="9"/>
    <x v="2"/>
    <d v="2026-06-13T00:00:00"/>
    <s v="Enrollment was submitted under individual NPI instead of group billing NPI."/>
    <n v="68"/>
    <x v="0"/>
    <s v="NPI Mismatch"/>
    <s v="Yes"/>
    <s v="No"/>
    <s v="No"/>
    <s v="No"/>
    <x v="1"/>
    <x v="1"/>
    <x v="0"/>
  </r>
  <r>
    <s v="ENR-0020"/>
    <s v="Sunrise Family Medicine"/>
    <s v="Dr. Sara Torres"/>
    <s v="IND-NPI-1020"/>
    <s v="GRP-NPI-9037"/>
    <s v="GRP-NPI-9037"/>
    <s v="GRP-NPI-9037"/>
    <s v="SYN-TIN-056"/>
    <x v="3"/>
    <s v="WRONG-UHC"/>
    <s v="Commercial"/>
    <s v="NA"/>
    <x v="1"/>
    <s v="Completed"/>
    <s v="Rejected"/>
    <s v="Rejected"/>
    <s v="Yes"/>
    <s v="Issue Found"/>
    <d v="2026-03-04T00:00:00"/>
    <m/>
    <x v="0"/>
    <x v="0"/>
    <x v="0"/>
    <d v="2026-06-04T00:00:00"/>
    <s v="Incorrect payer ID was used for enrollment or routing."/>
    <n v="91"/>
    <x v="0"/>
    <s v="NPI Match"/>
    <s v="No"/>
    <s v="Yes"/>
    <s v="No"/>
    <s v="No"/>
    <x v="0"/>
    <x v="1"/>
    <x v="0"/>
  </r>
  <r>
    <s v="ENR-0021"/>
    <s v="Silverline Neurology"/>
    <s v="Dr. Ethan Ali"/>
    <s v="IND-NPI-1021"/>
    <s v="GRP-NPI-9030"/>
    <s v="GRP-NPI-9030"/>
    <s v="GRP-NPI-9030"/>
    <s v="SYN-TIN-044"/>
    <x v="5"/>
    <s v="HUM001"/>
    <s v="Commercial"/>
    <s v="NA"/>
    <x v="1"/>
    <s v="In Progress"/>
    <s v="Not Started"/>
    <s v="Not Started"/>
    <s v="No"/>
    <s v="Not Started"/>
    <d v="2026-02-09T00:00:00"/>
    <m/>
    <x v="1"/>
    <x v="8"/>
    <x v="2"/>
    <d v="2026-06-03T00:00:00"/>
    <s v="Credentialing must be completed before enrollment can proceed."/>
    <n v="114"/>
    <x v="0"/>
    <s v="NPI Match"/>
    <s v="No"/>
    <s v="No"/>
    <s v="Yes"/>
    <s v="No"/>
    <x v="0"/>
    <x v="1"/>
    <x v="0"/>
  </r>
  <r>
    <s v="ENR-0022"/>
    <s v="Liberty Primary Care"/>
    <s v="Dr. Emily Patel"/>
    <s v="IND-NPI-1022"/>
    <s v="GRP-NPI-9013"/>
    <s v="GRP-NPI-9013"/>
    <s v="GRP-NPI-9013"/>
    <s v="SYN-TIN-010"/>
    <x v="0"/>
    <s v="MCD002"/>
    <s v="Government"/>
    <s v="PTAN-0022"/>
    <x v="1"/>
    <s v="Completed"/>
    <s v="Approved"/>
    <s v="Approved"/>
    <s v="Yes"/>
    <s v="Completed"/>
    <d v="2026-03-02T00:00:00"/>
    <d v="2026-03-13T00:00:00"/>
    <x v="2"/>
    <x v="2"/>
    <x v="3"/>
    <d v="2026-06-10T00:00:00"/>
    <s v="Record is ready for expected transaction flow."/>
    <n v="11"/>
    <x v="1"/>
    <s v="NPI Match"/>
    <s v="No"/>
    <s v="No"/>
    <s v="No"/>
    <s v="No"/>
    <x v="2"/>
    <x v="2"/>
    <x v="1"/>
  </r>
  <r>
    <s v="ENR-0023"/>
    <s v="Blue Harbor ENT"/>
    <s v="Dr. Ivy Shah"/>
    <s v="IND-NPI-1023"/>
    <s v="GRP-NPI-9004"/>
    <s v="GRP-NPI-9004"/>
    <s v="GRP-NPI-9004"/>
    <s v="SYN-TIN-063"/>
    <x v="2"/>
    <s v="CIG-OLD"/>
    <s v="Commercial"/>
    <s v="NA"/>
    <x v="1"/>
    <s v="Completed"/>
    <s v="Rejected"/>
    <s v="Rejected"/>
    <s v="Yes"/>
    <s v="Issue Found"/>
    <d v="2026-03-16T00:00:00"/>
    <m/>
    <x v="0"/>
    <x v="10"/>
    <x v="2"/>
    <d v="2026-06-05T00:00:00"/>
    <s v="Outdated payer ID needs to be replaced with current payer ID."/>
    <n v="79"/>
    <x v="0"/>
    <s v="NPI Match"/>
    <s v="No"/>
    <s v="Yes"/>
    <s v="No"/>
    <s v="No"/>
    <x v="0"/>
    <x v="1"/>
    <x v="0"/>
  </r>
  <r>
    <s v="ENR-0024"/>
    <s v="Valley View Gastro"/>
    <s v="Dr. Omar Carter"/>
    <s v="IND-NPI-1024"/>
    <s v="GRP-NPI-9026"/>
    <s v="GRP-NPI-9026"/>
    <s v="GRP-NPI-9026"/>
    <s v="SYN-TIN-055"/>
    <x v="1"/>
    <s v="MED001"/>
    <s v="Government"/>
    <s v="PTAN-0024"/>
    <x v="0"/>
    <s v="Completed"/>
    <s v="Approved"/>
    <s v="Not Required"/>
    <s v="Yes"/>
    <s v="Completed"/>
    <d v="2026-04-24T00:00:00"/>
    <d v="2026-05-05T00:00:00"/>
    <x v="2"/>
    <x v="2"/>
    <x v="4"/>
    <d v="2026-06-10T00:00:00"/>
    <s v="Record is ready for expected transaction flow."/>
    <n v="11"/>
    <x v="1"/>
    <s v="NPI Match"/>
    <s v="No"/>
    <s v="No"/>
    <s v="No"/>
    <s v="No"/>
    <x v="2"/>
    <x v="0"/>
    <x v="1"/>
  </r>
  <r>
    <s v="ENR-0025"/>
    <s v="Grand Oak Surgery Center"/>
    <s v="Dr. Ivy Joshi"/>
    <s v="IND-NPI-1025"/>
    <s v="GRP-NPI-9032"/>
    <s v="GRP-NPI-9032"/>
    <s v="GRP-NPI-9032"/>
    <s v="SYN-TIN-008"/>
    <x v="0"/>
    <s v="MCD002"/>
    <s v="Government"/>
    <s v="PTAN-0025"/>
    <x v="0"/>
    <s v="Completed"/>
    <s v="Approved"/>
    <s v="Not Required"/>
    <s v="Yes"/>
    <s v="Completed"/>
    <d v="2026-01-29T00:00:00"/>
    <d v="2026-02-14T00:00:00"/>
    <x v="2"/>
    <x v="2"/>
    <x v="1"/>
    <d v="2026-06-14T00:00:00"/>
    <s v="Record is ready for expected transaction flow."/>
    <n v="16"/>
    <x v="1"/>
    <s v="NPI Match"/>
    <s v="No"/>
    <s v="No"/>
    <s v="No"/>
    <s v="No"/>
    <x v="2"/>
    <x v="0"/>
    <x v="1"/>
  </r>
  <r>
    <s v="ENR-0026"/>
    <s v="Willow Creek Pediatrics"/>
    <s v="Dr. Kevin Rao"/>
    <s v="IND-NPI-1026"/>
    <s v="GRP-NPI-9004"/>
    <s v="GRP-NPI-9004"/>
    <s v="GRP-NPI-9004"/>
    <s v="SYN-TIN-011"/>
    <x v="3"/>
    <s v="UHC001"/>
    <s v="Commercial"/>
    <s v="NA"/>
    <x v="1"/>
    <s v="Completed"/>
    <s v="Pending"/>
    <s v="Pending"/>
    <s v="Yes"/>
    <s v="In Progress"/>
    <d v="2026-05-30T00:00:00"/>
    <m/>
    <x v="1"/>
    <x v="3"/>
    <x v="0"/>
    <d v="2026-06-05T00:00:00"/>
    <s v="Waiting on payer approval or payer response."/>
    <n v="4"/>
    <x v="2"/>
    <s v="NPI Match"/>
    <s v="No"/>
    <s v="No"/>
    <s v="No"/>
    <s v="No"/>
    <x v="0"/>
    <x v="1"/>
    <x v="0"/>
  </r>
  <r>
    <s v="ENR-0027"/>
    <s v="Harborview Pediatrics"/>
    <s v="Dr. Thomas Lee"/>
    <s v="IND-NPI-1027"/>
    <s v="GRP-NPI-9039"/>
    <s v="GRP-NPI-9039"/>
    <s v="GRP-NPI-9039"/>
    <s v="SYN-TIN-006"/>
    <x v="1"/>
    <s v="MED001"/>
    <s v="Government"/>
    <s v="PTAN-0027"/>
    <x v="1"/>
    <s v="Completed"/>
    <s v="Approved"/>
    <s v="Approved"/>
    <s v="Yes"/>
    <s v="Completed"/>
    <d v="2026-02-14T00:00:00"/>
    <d v="2026-03-02T00:00:00"/>
    <x v="2"/>
    <x v="2"/>
    <x v="1"/>
    <d v="2026-06-06T00:00:00"/>
    <s v="Record is ready for expected transaction flow."/>
    <n v="16"/>
    <x v="1"/>
    <s v="NPI Match"/>
    <s v="No"/>
    <s v="No"/>
    <s v="No"/>
    <s v="No"/>
    <x v="2"/>
    <x v="2"/>
    <x v="1"/>
  </r>
  <r>
    <s v="ENR-0028"/>
    <s v="Parkside Oncology"/>
    <s v="Dr. Vivek Ali"/>
    <s v="IND-NPI-1028"/>
    <s v="GRP-NPI-9043"/>
    <s v="GRP-NPI-9043"/>
    <s v="GRP-NPI-9043"/>
    <s v="SYN-TIN-031"/>
    <x v="3"/>
    <s v="UHC001"/>
    <s v="Commercial"/>
    <s v="NA"/>
    <x v="1"/>
    <s v="Completed"/>
    <s v="Approved"/>
    <s v="Pending"/>
    <s v="No"/>
    <s v="Pending"/>
    <d v="2026-03-22T00:00:00"/>
    <m/>
    <x v="1"/>
    <x v="1"/>
    <x v="4"/>
    <d v="2026-06-06T00:00:00"/>
    <s v="Clearinghouse route or portal setup needs update before go-live."/>
    <n v="73"/>
    <x v="0"/>
    <s v="NPI Match"/>
    <s v="No"/>
    <s v="No"/>
    <s v="Yes"/>
    <s v="No"/>
    <x v="0"/>
    <x v="1"/>
    <x v="0"/>
  </r>
  <r>
    <s v="ENR-0029"/>
    <s v="Westbrook Dermatology"/>
    <s v="Dr. Noah Wilson"/>
    <s v="IND-NPI-1029"/>
    <s v="GRP-NPI-9043"/>
    <s v="GRP-NPI-9043"/>
    <s v="GRP-NPI-9043"/>
    <s v="SYN-TIN-013"/>
    <x v="2"/>
    <s v="CIG001"/>
    <s v="Commercial"/>
    <s v="NA"/>
    <x v="2"/>
    <s v="Completed"/>
    <s v="Not Required"/>
    <s v="Pending"/>
    <s v="No"/>
    <s v="Pending"/>
    <d v="2026-02-02T00:00:00"/>
    <m/>
    <x v="1"/>
    <x v="1"/>
    <x v="2"/>
    <d v="2026-06-03T00:00:00"/>
    <s v="Clearinghouse route or portal setup needs update before go-live."/>
    <n v="121"/>
    <x v="0"/>
    <s v="NPI Match"/>
    <s v="No"/>
    <s v="No"/>
    <s v="Yes"/>
    <s v="No"/>
    <x v="1"/>
    <x v="1"/>
    <x v="0"/>
  </r>
  <r>
    <s v="ENR-0030"/>
    <s v="Greenway Internal Medicine"/>
    <s v="Dr. Samir Chen"/>
    <s v="IND-NPI-1030"/>
    <s v="GRP-NPI-9033"/>
    <s v="GRP-NPI-9033"/>
    <s v="GRP-NPI-9033"/>
    <s v="SYN-TIN-037"/>
    <x v="6"/>
    <s v="BCBS01"/>
    <s v="Commercial"/>
    <s v="NA"/>
    <x v="0"/>
    <s v="Completed"/>
    <s v="Approved"/>
    <s v="Not Required"/>
    <s v="No"/>
    <s v="Pending"/>
    <d v="2026-02-01T00:00:00"/>
    <m/>
    <x v="1"/>
    <x v="1"/>
    <x v="4"/>
    <d v="2026-06-06T00:00:00"/>
    <s v="Clearinghouse route or portal setup needs update before go-live."/>
    <n v="122"/>
    <x v="0"/>
    <s v="NPI Match"/>
    <s v="No"/>
    <s v="No"/>
    <s v="Yes"/>
    <s v="No"/>
    <x v="0"/>
    <x v="0"/>
    <x v="0"/>
  </r>
  <r>
    <s v="ENR-0031"/>
    <s v="BrightCare Cardiology"/>
    <s v="Dr. Leah Das"/>
    <s v="IND-NPI-1031"/>
    <s v="GRP-NPI-9035"/>
    <s v="GRP-NPI-9035"/>
    <s v="GRP-NPI-9035"/>
    <s v="SYN-TIN-039"/>
    <x v="2"/>
    <s v="CIG001"/>
    <s v="Commercial"/>
    <s v="NA"/>
    <x v="2"/>
    <s v="Completed"/>
    <s v="Not Required"/>
    <s v="Pending"/>
    <s v="Yes"/>
    <s v="In Progress"/>
    <d v="2026-05-30T00:00:00"/>
    <m/>
    <x v="1"/>
    <x v="4"/>
    <x v="1"/>
    <d v="2026-06-03T00:00:00"/>
    <s v="ERA enrollment or routing is not fully completed."/>
    <n v="4"/>
    <x v="2"/>
    <s v="NPI Match"/>
    <s v="No"/>
    <s v="No"/>
    <s v="No"/>
    <s v="No"/>
    <x v="1"/>
    <x v="1"/>
    <x v="0"/>
  </r>
  <r>
    <s v="ENR-0032"/>
    <s v="Canyon Ridge Clinic"/>
    <s v="Dr. Emily Nguyen"/>
    <s v="IND-NPI-1032"/>
    <s v="GRP-NPI-9009"/>
    <s v="GRP-NPI-9009"/>
    <s v="GRP-NPI-9009"/>
    <s v="SYN-TIN-027"/>
    <x v="6"/>
    <s v="BCBS01"/>
    <s v="Commercial"/>
    <s v="NA"/>
    <x v="0"/>
    <s v="Completed"/>
    <s v="Approved"/>
    <s v="Not Required"/>
    <s v="Yes"/>
    <s v="Completed"/>
    <d v="2026-02-23T00:00:00"/>
    <d v="2026-03-06T00:00:00"/>
    <x v="2"/>
    <x v="2"/>
    <x v="1"/>
    <d v="2026-06-07T00:00:00"/>
    <s v="Record is ready for expected transaction flow."/>
    <n v="11"/>
    <x v="1"/>
    <s v="NPI Match"/>
    <s v="No"/>
    <s v="No"/>
    <s v="No"/>
    <s v="No"/>
    <x v="2"/>
    <x v="0"/>
    <x v="1"/>
  </r>
  <r>
    <s v="ENR-0033"/>
    <s v="Grand Oak Surgery Center"/>
    <s v="Dr. Meera Chen"/>
    <s v="IND-NPI-1033"/>
    <s v="GRP-NPI-9044"/>
    <s v="GRP-NPI-9044"/>
    <s v="IND-NPI-1033"/>
    <s v="SYN-TIN-055"/>
    <x v="2"/>
    <s v="CIG001"/>
    <s v="Commercial"/>
    <s v="NA"/>
    <x v="1"/>
    <s v="Completed"/>
    <s v="Rejected"/>
    <s v="Rejected"/>
    <s v="Yes"/>
    <s v="Issue Found"/>
    <d v="2026-03-20T00:00:00"/>
    <m/>
    <x v="0"/>
    <x v="9"/>
    <x v="0"/>
    <d v="2026-06-03T00:00:00"/>
    <s v="Enrollment was submitted under individual NPI instead of group billing NPI."/>
    <n v="75"/>
    <x v="0"/>
    <s v="NPI Mismatch"/>
    <s v="Yes"/>
    <s v="No"/>
    <s v="No"/>
    <s v="No"/>
    <x v="0"/>
    <x v="1"/>
    <x v="0"/>
  </r>
  <r>
    <s v="ENR-0034"/>
    <s v="Evergreen Urology"/>
    <s v="Dr. Aditya Rao"/>
    <s v="IND-NPI-1034"/>
    <s v="GRP-NPI-9001"/>
    <s v="GRP-NPI-9001"/>
    <s v="GRP-NPI-9001"/>
    <s v="SYN-TIN-055"/>
    <x v="6"/>
    <s v="BCBS01"/>
    <s v="Commercial"/>
    <s v="NA"/>
    <x v="1"/>
    <s v="Completed"/>
    <s v="Rejected"/>
    <s v="Rejected"/>
    <s v="Yes"/>
    <s v="Issue Found"/>
    <d v="2026-03-23T00:00:00"/>
    <m/>
    <x v="0"/>
    <x v="6"/>
    <x v="2"/>
    <d v="2026-06-05T00:00:00"/>
    <s v="PTAN or government payer provider number needs correction."/>
    <n v="72"/>
    <x v="0"/>
    <s v="NPI Match"/>
    <s v="Yes"/>
    <s v="No"/>
    <s v="No"/>
    <s v="Yes"/>
    <x v="0"/>
    <x v="1"/>
    <x v="0"/>
  </r>
  <r>
    <s v="ENR-0035"/>
    <s v="Sunrise Family Medicine"/>
    <s v="Dr. Asha Shah"/>
    <s v="IND-NPI-1035"/>
    <s v="GRP-NPI-9005"/>
    <s v="GRP-NPI-9005"/>
    <s v="GRP-NPI-9124"/>
    <s v="SYN-TIN-006"/>
    <x v="2"/>
    <s v="CIG001"/>
    <s v="Commercial"/>
    <s v="NA"/>
    <x v="1"/>
    <s v="Completed"/>
    <s v="Rejected"/>
    <s v="Rejected"/>
    <s v="Yes"/>
    <s v="Issue Found"/>
    <d v="2026-02-21T00:00:00"/>
    <m/>
    <x v="0"/>
    <x v="7"/>
    <x v="3"/>
    <d v="2026-06-09T00:00:00"/>
    <s v="Enrolled NPI does not match the payer-credentialed NPI."/>
    <n v="102"/>
    <x v="0"/>
    <s v="NPI Mismatch"/>
    <s v="Yes"/>
    <s v="No"/>
    <s v="No"/>
    <s v="No"/>
    <x v="0"/>
    <x v="1"/>
    <x v="0"/>
  </r>
  <r>
    <s v="ENR-0036"/>
    <s v="Summit Eye Care"/>
    <s v="Dr. Elena Nguyen"/>
    <s v="IND-NPI-1036"/>
    <s v="GRP-NPI-9003"/>
    <s v="GRP-NPI-9003"/>
    <s v="GRP-NPI-9003"/>
    <s v="SYN-TIN-020"/>
    <x v="6"/>
    <s v="BCBS01"/>
    <s v="Commercial"/>
    <s v="NA"/>
    <x v="0"/>
    <s v="Completed"/>
    <s v="Approved"/>
    <s v="Not Required"/>
    <s v="Yes"/>
    <s v="Completed"/>
    <d v="2026-02-10T00:00:00"/>
    <d v="2026-02-22T00:00:00"/>
    <x v="2"/>
    <x v="2"/>
    <x v="2"/>
    <d v="2026-06-11T00:00:00"/>
    <s v="Record is ready for expected transaction flow."/>
    <n v="12"/>
    <x v="1"/>
    <s v="NPI Match"/>
    <s v="No"/>
    <s v="No"/>
    <s v="No"/>
    <s v="No"/>
    <x v="2"/>
    <x v="0"/>
    <x v="1"/>
  </r>
  <r>
    <s v="ENR-0037"/>
    <s v="Canyon Ridge Clinic"/>
    <s v="Dr. Sanjay Carter"/>
    <s v="IND-NPI-1037"/>
    <s v="GRP-NPI-9011"/>
    <s v="GRP-NPI-9011"/>
    <s v="GRP-NPI-9011"/>
    <s v="SYN-TIN-053"/>
    <x v="5"/>
    <s v="HUM001"/>
    <s v="Commercial"/>
    <s v="NA"/>
    <x v="1"/>
    <s v="Completed"/>
    <s v="Pending"/>
    <s v="Pending"/>
    <s v="Yes"/>
    <s v="In Progress"/>
    <d v="2026-01-21T00:00:00"/>
    <m/>
    <x v="1"/>
    <x v="3"/>
    <x v="4"/>
    <d v="2026-06-05T00:00:00"/>
    <s v="Waiting on payer approval or payer response."/>
    <n v="133"/>
    <x v="0"/>
    <s v="NPI Match"/>
    <s v="No"/>
    <s v="No"/>
    <s v="No"/>
    <s v="No"/>
    <x v="0"/>
    <x v="1"/>
    <x v="0"/>
  </r>
  <r>
    <s v="ENR-0038"/>
    <s v="Liberty Primary Care"/>
    <s v="Dr. Sanjay Khan"/>
    <s v="IND-NPI-1038"/>
    <s v="GRP-NPI-9011"/>
    <s v="GRP-NPI-9011"/>
    <s v="GRP-NPI-9011"/>
    <s v="SYN-TIN-026"/>
    <x v="5"/>
    <s v="HUM001"/>
    <s v="Commercial"/>
    <s v="NA"/>
    <x v="1"/>
    <s v="Completed"/>
    <s v="Approved"/>
    <s v="Pending"/>
    <s v="No"/>
    <s v="Pending"/>
    <d v="2026-01-24T00:00:00"/>
    <m/>
    <x v="1"/>
    <x v="1"/>
    <x v="3"/>
    <d v="2026-06-10T00:00:00"/>
    <s v="Clearinghouse route or portal setup needs update before go-live."/>
    <n v="130"/>
    <x v="0"/>
    <s v="NPI Match"/>
    <s v="No"/>
    <s v="No"/>
    <s v="Yes"/>
    <s v="No"/>
    <x v="0"/>
    <x v="1"/>
    <x v="0"/>
  </r>
  <r>
    <s v="ENR-0039"/>
    <s v="Evergreen Urology"/>
    <s v="Dr. Aria Gray"/>
    <s v="IND-NPI-1039"/>
    <s v="GRP-NPI-9020"/>
    <s v="GRP-NPI-9020"/>
    <s v="GRP-NPI-9020"/>
    <s v="SYN-TIN-043"/>
    <x v="5"/>
    <s v="HUM001"/>
    <s v="Commercial"/>
    <s v="NA"/>
    <x v="1"/>
    <s v="Completed"/>
    <s v="Approved"/>
    <s v="Approved"/>
    <s v="Yes"/>
    <s v="Completed"/>
    <d v="2026-01-21T00:00:00"/>
    <d v="2026-02-07T00:00:00"/>
    <x v="2"/>
    <x v="2"/>
    <x v="2"/>
    <d v="2026-06-06T00:00:00"/>
    <s v="Record is ready for expected transaction flow."/>
    <n v="17"/>
    <x v="1"/>
    <s v="NPI Match"/>
    <s v="No"/>
    <s v="No"/>
    <s v="No"/>
    <s v="No"/>
    <x v="2"/>
    <x v="2"/>
    <x v="1"/>
  </r>
  <r>
    <s v="ENR-0040"/>
    <s v="Westbrook Dermatology"/>
    <s v="Dr. Mark Singh"/>
    <s v="IND-NPI-1040"/>
    <s v="GRP-NPI-9018"/>
    <s v="GRP-NPI-9018"/>
    <s v="GRP-NPI-9018"/>
    <s v="SYN-TIN-015"/>
    <x v="6"/>
    <s v="BCBS01"/>
    <s v="Commercial"/>
    <s v="NA"/>
    <x v="1"/>
    <s v="Completed"/>
    <s v="Approved"/>
    <s v="Pending"/>
    <s v="No"/>
    <s v="Pending"/>
    <d v="2026-06-01T00:00:00"/>
    <m/>
    <x v="1"/>
    <x v="1"/>
    <x v="0"/>
    <d v="2026-06-08T00:00:00"/>
    <s v="Clearinghouse route or portal setup needs update before go-live."/>
    <n v="2"/>
    <x v="2"/>
    <s v="NPI Match"/>
    <s v="No"/>
    <s v="No"/>
    <s v="Yes"/>
    <s v="No"/>
    <x v="0"/>
    <x v="1"/>
    <x v="0"/>
  </r>
  <r>
    <s v="ENR-0041"/>
    <s v="Stonebridge Family Medicine"/>
    <s v="Dr. Hannah Nair"/>
    <s v="IND-NPI-1041"/>
    <s v="GRP-NPI-9038"/>
    <s v="GRP-NPI-9038"/>
    <s v="GRP-NPI-9123"/>
    <s v="SYN-TIN-015"/>
    <x v="6"/>
    <s v="BCBS01"/>
    <s v="Commercial"/>
    <s v="NA"/>
    <x v="0"/>
    <s v="Completed"/>
    <s v="Rejected"/>
    <s v="Not Required"/>
    <s v="Yes"/>
    <s v="Issue Found"/>
    <d v="2026-04-05T00:00:00"/>
    <m/>
    <x v="0"/>
    <x v="7"/>
    <x v="1"/>
    <d v="2026-06-09T00:00:00"/>
    <s v="Enrolled NPI does not match the payer-credentialed NPI."/>
    <n v="59"/>
    <x v="0"/>
    <s v="NPI Mismatch"/>
    <s v="Yes"/>
    <s v="No"/>
    <s v="No"/>
    <s v="No"/>
    <x v="0"/>
    <x v="0"/>
    <x v="0"/>
  </r>
  <r>
    <s v="ENR-0042"/>
    <s v="Maple Leaf Urgent Care"/>
    <s v="Dr. Elias Chen"/>
    <s v="IND-NPI-1042"/>
    <s v="GRP-NPI-9017"/>
    <s v="GRP-NPI-9017"/>
    <s v="GRP-NPI-9017"/>
    <s v="SYN-TIN-047"/>
    <x v="1"/>
    <s v="MED001"/>
    <s v="Government"/>
    <s v="PTAN-0042"/>
    <x v="1"/>
    <s v="Completed"/>
    <s v="Approved"/>
    <s v="Approved"/>
    <s v="Yes"/>
    <s v="Completed"/>
    <d v="2026-06-01T00:00:00"/>
    <d v="2026-05-31T00:00:00"/>
    <x v="2"/>
    <x v="2"/>
    <x v="3"/>
    <d v="2026-06-14T00:00:00"/>
    <s v="Record is ready for expected transaction flow."/>
    <n v="-1"/>
    <x v="1"/>
    <s v="NPI Match"/>
    <s v="No"/>
    <s v="No"/>
    <s v="No"/>
    <s v="No"/>
    <x v="2"/>
    <x v="2"/>
    <x v="1"/>
  </r>
  <r>
    <s v="ENR-0043"/>
    <s v="Southview Endocrinology"/>
    <s v="Dr. Mark Joshi"/>
    <s v="IND-NPI-1043"/>
    <s v="GRP-NPI-9022"/>
    <s v="GRP-NPI-9022"/>
    <s v="GRP-NPI-9022"/>
    <s v="SYN-TIN-042"/>
    <x v="3"/>
    <s v="WRONG-UHC"/>
    <s v="Commercial"/>
    <s v="NA"/>
    <x v="2"/>
    <s v="Completed"/>
    <s v="Not Required"/>
    <s v="Rejected"/>
    <s v="Yes"/>
    <s v="Issue Found"/>
    <d v="2026-05-24T00:00:00"/>
    <m/>
    <x v="0"/>
    <x v="10"/>
    <x v="2"/>
    <d v="2026-06-07T00:00:00"/>
    <s v="Outdated payer ID needs to be replaced with current payer ID."/>
    <n v="10"/>
    <x v="2"/>
    <s v="NPI Match"/>
    <s v="No"/>
    <s v="Yes"/>
    <s v="No"/>
    <s v="No"/>
    <x v="1"/>
    <x v="1"/>
    <x v="0"/>
  </r>
  <r>
    <s v="ENR-0044"/>
    <s v="Maple Leaf Urgent Care"/>
    <s v="Dr. Grace Rao"/>
    <s v="IND-NPI-1044"/>
    <s v="GRP-NPI-9009"/>
    <s v="GRP-NPI-9009"/>
    <s v="GRP-NPI-9009"/>
    <s v="SYN-TIN-039"/>
    <x v="0"/>
    <s v="MCD002"/>
    <s v="Government"/>
    <s v="PTAN-0044"/>
    <x v="2"/>
    <s v="Completed"/>
    <s v="Not Required"/>
    <s v="Pending"/>
    <s v="Yes"/>
    <s v="In Progress"/>
    <d v="2026-02-28T00:00:00"/>
    <m/>
    <x v="1"/>
    <x v="11"/>
    <x v="1"/>
    <d v="2026-06-12T00:00:00"/>
    <s v="Medicaid requires additional enrollment after credentialing."/>
    <n v="95"/>
    <x v="0"/>
    <s v="NPI Match"/>
    <s v="No"/>
    <s v="No"/>
    <s v="No"/>
    <s v="No"/>
    <x v="1"/>
    <x v="1"/>
    <x v="0"/>
  </r>
  <r>
    <s v="ENR-0045"/>
    <s v="Maple Leaf Urgent Care"/>
    <s v="Dr. Ivy Das"/>
    <s v="IND-NPI-1045"/>
    <s v="GRP-NPI-9001"/>
    <s v="GRP-NPI-9001"/>
    <s v="IND-NPI-1045"/>
    <s v="SYN-TIN-057"/>
    <x v="6"/>
    <s v="BCBS01"/>
    <s v="Commercial"/>
    <s v="NA"/>
    <x v="2"/>
    <s v="Completed"/>
    <s v="Not Required"/>
    <s v="Rejected"/>
    <s v="Yes"/>
    <s v="Issue Found"/>
    <d v="2026-04-07T00:00:00"/>
    <m/>
    <x v="0"/>
    <x v="9"/>
    <x v="2"/>
    <d v="2026-06-10T00:00:00"/>
    <s v="Enrollment was submitted under individual NPI instead of group billing NPI."/>
    <n v="57"/>
    <x v="0"/>
    <s v="NPI Mismatch"/>
    <s v="Yes"/>
    <s v="No"/>
    <s v="No"/>
    <s v="No"/>
    <x v="1"/>
    <x v="1"/>
    <x v="0"/>
  </r>
  <r>
    <s v="ENR-0046"/>
    <s v="Coral Springs Primary Care"/>
    <s v="Dr. Omar Scott"/>
    <s v="IND-NPI-1046"/>
    <s v="GRP-NPI-9031"/>
    <s v="GRP-NPI-9031"/>
    <s v="GRP-NPI-9031"/>
    <s v="SYN-TIN-043"/>
    <x v="5"/>
    <s v="HUM-OLD"/>
    <s v="Commercial"/>
    <s v="NA"/>
    <x v="1"/>
    <s v="Completed"/>
    <s v="Rejected"/>
    <s v="Rejected"/>
    <s v="Yes"/>
    <s v="Issue Found"/>
    <d v="2026-02-05T00:00:00"/>
    <m/>
    <x v="0"/>
    <x v="0"/>
    <x v="1"/>
    <d v="2026-06-07T00:00:00"/>
    <s v="Incorrect payer ID was used for enrollment or routing."/>
    <n v="118"/>
    <x v="0"/>
    <s v="NPI Match"/>
    <s v="No"/>
    <s v="Yes"/>
    <s v="No"/>
    <s v="No"/>
    <x v="0"/>
    <x v="1"/>
    <x v="0"/>
  </r>
  <r>
    <s v="ENR-0047"/>
    <s v="Greenway Internal Medicine"/>
    <s v="Dr. Sanjay Joshi"/>
    <s v="IND-NPI-1047"/>
    <s v="GRP-NPI-9020"/>
    <s v="GRP-NPI-9020"/>
    <s v="GRP-NPI-9020"/>
    <s v="SYN-TIN-010"/>
    <x v="0"/>
    <s v="MCD002"/>
    <s v="Government"/>
    <s v="PTAN-0047"/>
    <x v="1"/>
    <s v="Completed"/>
    <s v="Approved"/>
    <s v="Approved"/>
    <s v="Yes"/>
    <s v="Completed"/>
    <d v="2026-01-26T00:00:00"/>
    <d v="2026-02-05T00:00:00"/>
    <x v="2"/>
    <x v="2"/>
    <x v="1"/>
    <d v="2026-06-10T00:00:00"/>
    <s v="Record is ready for expected transaction flow."/>
    <n v="10"/>
    <x v="1"/>
    <s v="NPI Match"/>
    <s v="No"/>
    <s v="No"/>
    <s v="No"/>
    <s v="No"/>
    <x v="2"/>
    <x v="2"/>
    <x v="1"/>
  </r>
  <r>
    <s v="ENR-0048"/>
    <s v="Blue Harbor ENT"/>
    <s v="Dr. Mina Nguyen"/>
    <s v="IND-NPI-1048"/>
    <s v="GRP-NPI-9041"/>
    <s v="GRP-NPI-9041"/>
    <s v="GRP-NPI-9041"/>
    <s v="SYN-TIN-019"/>
    <x v="3"/>
    <s v="UHC001"/>
    <s v="Commercial"/>
    <s v="NA"/>
    <x v="0"/>
    <s v="In Progress"/>
    <s v="Not Started"/>
    <s v="Not Required"/>
    <s v="No"/>
    <s v="Not Started"/>
    <d v="2026-05-21T00:00:00"/>
    <m/>
    <x v="1"/>
    <x v="8"/>
    <x v="3"/>
    <d v="2026-06-09T00:00:00"/>
    <s v="Credentialing must be completed before enrollment can proceed."/>
    <n v="13"/>
    <x v="2"/>
    <s v="NPI Match"/>
    <s v="No"/>
    <s v="No"/>
    <s v="Yes"/>
    <s v="No"/>
    <x v="0"/>
    <x v="0"/>
    <x v="0"/>
  </r>
  <r>
    <s v="ENR-0049"/>
    <s v="Eastwood Pulmonary"/>
    <s v="Dr. Asha Nguyen"/>
    <s v="IND-NPI-1049"/>
    <s v="GRP-NPI-9007"/>
    <s v="GRP-NPI-9007"/>
    <s v="GRP-NPI-9007"/>
    <s v="SYN-TIN-016"/>
    <x v="5"/>
    <s v="HUM001"/>
    <s v="Commercial"/>
    <s v="NA"/>
    <x v="2"/>
    <s v="Completed"/>
    <s v="Not Required"/>
    <s v="Approved"/>
    <s v="Yes"/>
    <s v="Completed"/>
    <d v="2026-05-27T00:00:00"/>
    <d v="2026-06-02T00:00:00"/>
    <x v="2"/>
    <x v="2"/>
    <x v="3"/>
    <d v="2026-06-11T00:00:00"/>
    <s v="Record is ready for expected transaction flow."/>
    <n v="6"/>
    <x v="1"/>
    <s v="NPI Match"/>
    <s v="No"/>
    <s v="No"/>
    <s v="No"/>
    <s v="No"/>
    <x v="1"/>
    <x v="2"/>
    <x v="1"/>
  </r>
  <r>
    <s v="ENR-0050"/>
    <s v="Blue Harbor ENT"/>
    <s v="Dr. Sara Rivera"/>
    <s v="IND-NPI-1050"/>
    <s v="GRP-NPI-9030"/>
    <s v="GRP-NPI-9030"/>
    <s v="GRP-NPI-9121"/>
    <s v="SYN-TIN-055"/>
    <x v="2"/>
    <s v="CIG001"/>
    <s v="Commercial"/>
    <s v="NA"/>
    <x v="1"/>
    <s v="Completed"/>
    <s v="Rejected"/>
    <s v="Rejected"/>
    <s v="Yes"/>
    <s v="Issue Found"/>
    <d v="2026-05-08T00:00:00"/>
    <m/>
    <x v="0"/>
    <x v="7"/>
    <x v="1"/>
    <d v="2026-06-12T00:00:00"/>
    <s v="Enrolled NPI does not match the payer-credentialed NPI."/>
    <n v="26"/>
    <x v="0"/>
    <s v="NPI Mismatch"/>
    <s v="Yes"/>
    <s v="No"/>
    <s v="No"/>
    <s v="No"/>
    <x v="0"/>
    <x v="1"/>
    <x v="0"/>
  </r>
  <r>
    <s v="ENR-0051"/>
    <s v="Evergreen Urology"/>
    <s v="Dr. Ivy Morgan"/>
    <s v="IND-NPI-1051"/>
    <s v="GRP-NPI-9011"/>
    <s v="GRP-NPI-9011"/>
    <s v="IND-NPI-1051"/>
    <s v="SYN-TIN-063"/>
    <x v="2"/>
    <s v="CIG001"/>
    <s v="Commercial"/>
    <s v="NA"/>
    <x v="1"/>
    <s v="Completed"/>
    <s v="Rejected"/>
    <s v="Rejected"/>
    <s v="Yes"/>
    <s v="Issue Found"/>
    <d v="2026-03-19T00:00:00"/>
    <m/>
    <x v="0"/>
    <x v="9"/>
    <x v="4"/>
    <d v="2026-06-13T00:00:00"/>
    <s v="Enrollment was submitted under individual NPI instead of group billing NPI."/>
    <n v="76"/>
    <x v="0"/>
    <s v="NPI Mismatch"/>
    <s v="Yes"/>
    <s v="No"/>
    <s v="No"/>
    <s v="No"/>
    <x v="0"/>
    <x v="1"/>
    <x v="0"/>
  </r>
  <r>
    <s v="ENR-0052"/>
    <s v="Eastwood Pulmonary"/>
    <s v="Dr. Sanjay Khan"/>
    <s v="IND-NPI-1052"/>
    <s v="GRP-NPI-9029"/>
    <s v="GRP-NPI-9029"/>
    <s v="GRP-NPI-9029"/>
    <s v="SYN-TIN-018"/>
    <x v="1"/>
    <s v="MED001"/>
    <s v="Government"/>
    <s v="PTAN-0052"/>
    <x v="1"/>
    <s v="Completed"/>
    <s v="Approved"/>
    <s v="Approved"/>
    <s v="Yes"/>
    <s v="Completed"/>
    <d v="2026-04-10T00:00:00"/>
    <d v="2026-04-22T00:00:00"/>
    <x v="2"/>
    <x v="2"/>
    <x v="0"/>
    <d v="2026-06-11T00:00:00"/>
    <s v="Record is ready for expected transaction flow."/>
    <n v="12"/>
    <x v="1"/>
    <s v="NPI Match"/>
    <s v="No"/>
    <s v="No"/>
    <s v="No"/>
    <s v="No"/>
    <x v="2"/>
    <x v="2"/>
    <x v="1"/>
  </r>
  <r>
    <s v="ENR-0053"/>
    <s v="Hillcrest Orthopedics"/>
    <s v="Dr. Lily Kapoor"/>
    <s v="IND-NPI-1053"/>
    <s v="GRP-NPI-9045"/>
    <s v="GRP-NPI-9045"/>
    <s v="GRP-NPI-9045"/>
    <s v="SYN-TIN-054"/>
    <x v="0"/>
    <s v="MCD002"/>
    <s v="Government"/>
    <s v="PTAN-0053"/>
    <x v="1"/>
    <s v="Completed"/>
    <s v="Approved"/>
    <s v="Approved"/>
    <s v="Yes"/>
    <s v="Completed"/>
    <d v="2026-04-29T00:00:00"/>
    <d v="2026-05-11T00:00:00"/>
    <x v="2"/>
    <x v="2"/>
    <x v="2"/>
    <d v="2026-06-11T00:00:00"/>
    <s v="Record is ready for expected transaction flow."/>
    <n v="12"/>
    <x v="1"/>
    <s v="NPI Match"/>
    <s v="No"/>
    <s v="No"/>
    <s v="No"/>
    <s v="No"/>
    <x v="2"/>
    <x v="2"/>
    <x v="1"/>
  </r>
  <r>
    <s v="ENR-0054"/>
    <s v="Northside Pediatrics"/>
    <s v="Dr. Omar Das"/>
    <s v="IND-NPI-1054"/>
    <s v="GRP-NPI-9027"/>
    <s v="GRP-NPI-9027"/>
    <s v="GRP-NPI-9145"/>
    <s v="SYN-TIN-062"/>
    <x v="4"/>
    <s v="AET001"/>
    <s v="Commercial"/>
    <s v="NA"/>
    <x v="1"/>
    <s v="Completed"/>
    <s v="Rejected"/>
    <s v="Rejected"/>
    <s v="Yes"/>
    <s v="Issue Found"/>
    <d v="2026-01-20T00:00:00"/>
    <m/>
    <x v="0"/>
    <x v="7"/>
    <x v="2"/>
    <d v="2026-06-12T00:00:00"/>
    <s v="Enrolled NPI does not match the payer-credentialed NPI."/>
    <n v="134"/>
    <x v="0"/>
    <s v="NPI Mismatch"/>
    <s v="Yes"/>
    <s v="No"/>
    <s v="No"/>
    <s v="No"/>
    <x v="0"/>
    <x v="1"/>
    <x v="0"/>
  </r>
  <r>
    <s v="ENR-0055"/>
    <s v="River Valley Family Care"/>
    <s v="Dr. Nathan Brooks"/>
    <s v="IND-NPI-1055"/>
    <s v="GRP-NPI-9025"/>
    <s v="GRP-NPI-9025"/>
    <s v="GRP-NPI-9025"/>
    <s v="SYN-TIN-056"/>
    <x v="5"/>
    <s v="HUM-OLD"/>
    <s v="Commercial"/>
    <s v="NA"/>
    <x v="1"/>
    <s v="Completed"/>
    <s v="Rejected"/>
    <s v="Rejected"/>
    <s v="Yes"/>
    <s v="Issue Found"/>
    <d v="2026-05-19T00:00:00"/>
    <m/>
    <x v="0"/>
    <x v="10"/>
    <x v="4"/>
    <d v="2026-06-06T00:00:00"/>
    <s v="Outdated payer ID needs to be replaced with current payer ID."/>
    <n v="15"/>
    <x v="2"/>
    <s v="NPI Match"/>
    <s v="No"/>
    <s v="Yes"/>
    <s v="No"/>
    <s v="No"/>
    <x v="0"/>
    <x v="1"/>
    <x v="0"/>
  </r>
  <r>
    <s v="ENR-0056"/>
    <s v="Valley View Gastro"/>
    <s v="Dr. Neha Kapoor"/>
    <s v="IND-NPI-1056"/>
    <s v="GRP-NPI-9022"/>
    <s v="GRP-NPI-9022"/>
    <s v="IND-NPI-1056"/>
    <s v="SYN-TIN-004"/>
    <x v="2"/>
    <s v="CIG001"/>
    <s v="Commercial"/>
    <s v="NA"/>
    <x v="1"/>
    <s v="Completed"/>
    <s v="Rejected"/>
    <s v="Rejected"/>
    <s v="Yes"/>
    <s v="Issue Found"/>
    <d v="2026-02-26T00:00:00"/>
    <m/>
    <x v="0"/>
    <x v="9"/>
    <x v="3"/>
    <d v="2026-06-10T00:00:00"/>
    <s v="Enrollment was submitted under individual NPI instead of group billing NPI."/>
    <n v="97"/>
    <x v="0"/>
    <s v="NPI Mismatch"/>
    <s v="Yes"/>
    <s v="No"/>
    <s v="No"/>
    <s v="No"/>
    <x v="0"/>
    <x v="1"/>
    <x v="0"/>
  </r>
  <r>
    <s v="ENR-0057"/>
    <s v="Canyon Ridge Clinic"/>
    <s v="Dr. Noah Miller"/>
    <s v="IND-NPI-1057"/>
    <s v="GRP-NPI-9037"/>
    <s v="GRP-NPI-9037"/>
    <s v="GRP-NPI-9037"/>
    <s v="SYN-TIN-007"/>
    <x v="2"/>
    <s v="CIG001"/>
    <s v="Commercial"/>
    <s v="NA"/>
    <x v="0"/>
    <s v="In Progress"/>
    <s v="Not Started"/>
    <s v="Not Required"/>
    <s v="No"/>
    <s v="Not Started"/>
    <d v="2026-02-18T00:00:00"/>
    <m/>
    <x v="1"/>
    <x v="8"/>
    <x v="3"/>
    <d v="2026-06-10T00:00:00"/>
    <s v="Credentialing must be completed before enrollment can proceed."/>
    <n v="105"/>
    <x v="0"/>
    <s v="NPI Match"/>
    <s v="No"/>
    <s v="No"/>
    <s v="Yes"/>
    <s v="No"/>
    <x v="0"/>
    <x v="0"/>
    <x v="0"/>
  </r>
  <r>
    <s v="ENR-0058"/>
    <s v="Westbrook Dermatology"/>
    <s v="Dr. Amara Iyer"/>
    <s v="IND-NPI-1058"/>
    <s v="GRP-NPI-9014"/>
    <s v="GRP-NPI-9014"/>
    <s v="GRP-NPI-9014"/>
    <s v="SYN-TIN-011"/>
    <x v="4"/>
    <s v="WRONG-AET"/>
    <s v="Commercial"/>
    <s v="NA"/>
    <x v="2"/>
    <s v="Completed"/>
    <s v="Not Required"/>
    <s v="Rejected"/>
    <s v="Yes"/>
    <s v="Issue Found"/>
    <d v="2026-03-27T00:00:00"/>
    <m/>
    <x v="0"/>
    <x v="0"/>
    <x v="4"/>
    <d v="2026-06-09T00:00:00"/>
    <s v="Incorrect payer ID was used for enrollment or routing."/>
    <n v="68"/>
    <x v="0"/>
    <s v="NPI Match"/>
    <s v="No"/>
    <s v="Yes"/>
    <s v="No"/>
    <s v="No"/>
    <x v="1"/>
    <x v="1"/>
    <x v="0"/>
  </r>
  <r>
    <s v="ENR-0059"/>
    <s v="Valley View Gastro"/>
    <s v="Dr. Neha Torres"/>
    <s v="IND-NPI-1059"/>
    <s v="GRP-NPI-9035"/>
    <s v="GRP-NPI-9035"/>
    <s v="GRP-NPI-9035"/>
    <s v="SYN-TIN-004"/>
    <x v="1"/>
    <s v="MED001"/>
    <s v="Government"/>
    <s v="PTAN-0059"/>
    <x v="1"/>
    <s v="Completed"/>
    <s v="Approved"/>
    <s v="Pending"/>
    <s v="No"/>
    <s v="Pending"/>
    <d v="2026-02-01T00:00:00"/>
    <m/>
    <x v="1"/>
    <x v="1"/>
    <x v="0"/>
    <d v="2026-06-13T00:00:00"/>
    <s v="Clearinghouse route or portal setup needs update before go-live."/>
    <n v="122"/>
    <x v="0"/>
    <s v="NPI Match"/>
    <s v="No"/>
    <s v="No"/>
    <s v="Yes"/>
    <s v="No"/>
    <x v="0"/>
    <x v="1"/>
    <x v="0"/>
  </r>
  <r>
    <s v="ENR-0060"/>
    <s v="Oak Street Primary Care"/>
    <s v="Dr. Isha Das"/>
    <s v="IND-NPI-1060"/>
    <s v="GRP-NPI-9002"/>
    <s v="GRP-NPI-9002"/>
    <s v="GRP-NPI-9002"/>
    <s v="SYN-TIN-033"/>
    <x v="3"/>
    <s v="UHC001"/>
    <s v="Commercial"/>
    <s v="NA"/>
    <x v="0"/>
    <s v="Completed"/>
    <s v="Approved"/>
    <s v="Not Required"/>
    <s v="Yes"/>
    <s v="Completed"/>
    <d v="2026-02-13T00:00:00"/>
    <d v="2026-03-01T00:00:00"/>
    <x v="2"/>
    <x v="2"/>
    <x v="2"/>
    <d v="2026-06-06T00:00:00"/>
    <s v="Record is ready for expected transaction flow."/>
    <n v="16"/>
    <x v="1"/>
    <s v="NPI Match"/>
    <s v="No"/>
    <s v="No"/>
    <s v="No"/>
    <s v="No"/>
    <x v="2"/>
    <x v="0"/>
    <x v="1"/>
  </r>
  <r>
    <s v="ENR-0061"/>
    <s v="Clearwater Pulmonary"/>
    <s v="Dr. Elena Nair"/>
    <s v="IND-NPI-1061"/>
    <s v="GRP-NPI-9039"/>
    <s v="GRP-NPI-9039"/>
    <s v="GRP-NPI-9039"/>
    <s v="SYN-TIN-004"/>
    <x v="3"/>
    <s v="UHC001"/>
    <s v="Commercial"/>
    <s v="NA"/>
    <x v="1"/>
    <s v="In Progress"/>
    <s v="Not Started"/>
    <s v="Not Started"/>
    <s v="No"/>
    <s v="Not Started"/>
    <d v="2026-02-25T00:00:00"/>
    <m/>
    <x v="1"/>
    <x v="8"/>
    <x v="0"/>
    <d v="2026-06-07T00:00:00"/>
    <s v="Credentialing must be completed before enrollment can proceed."/>
    <n v="98"/>
    <x v="0"/>
    <s v="NPI Match"/>
    <s v="No"/>
    <s v="No"/>
    <s v="Yes"/>
    <s v="No"/>
    <x v="0"/>
    <x v="1"/>
    <x v="0"/>
  </r>
  <r>
    <s v="ENR-0062"/>
    <s v="Canyon Ridge Clinic"/>
    <s v="Dr. Farah Miller"/>
    <s v="IND-NPI-1062"/>
    <s v="GRP-NPI-9044"/>
    <s v="GRP-NPI-9044"/>
    <s v="GRP-NPI-9044"/>
    <s v="SYN-TIN-014"/>
    <x v="4"/>
    <s v="AET001"/>
    <s v="Commercial"/>
    <s v="NA"/>
    <x v="2"/>
    <s v="In Progress"/>
    <s v="Not Required"/>
    <s v="Not Started"/>
    <s v="No"/>
    <s v="Not Started"/>
    <d v="2026-02-03T00:00:00"/>
    <m/>
    <x v="1"/>
    <x v="8"/>
    <x v="3"/>
    <d v="2026-06-12T00:00:00"/>
    <s v="Credentialing must be completed before enrollment can proceed."/>
    <n v="120"/>
    <x v="0"/>
    <s v="NPI Match"/>
    <s v="No"/>
    <s v="No"/>
    <s v="Yes"/>
    <s v="No"/>
    <x v="1"/>
    <x v="1"/>
    <x v="0"/>
  </r>
  <r>
    <s v="ENR-0063"/>
    <s v="Grand Oak Surgery Center"/>
    <s v="Dr. Farah Carter"/>
    <s v="IND-NPI-1063"/>
    <s v="GRP-NPI-9044"/>
    <s v="GRP-NPI-9044"/>
    <s v="GRP-NPI-9044"/>
    <s v="SYN-TIN-048"/>
    <x v="3"/>
    <s v="UHC-OLD"/>
    <s v="Commercial"/>
    <s v="NA"/>
    <x v="1"/>
    <s v="Completed"/>
    <s v="Rejected"/>
    <s v="Rejected"/>
    <s v="Yes"/>
    <s v="Issue Found"/>
    <d v="2026-04-13T00:00:00"/>
    <m/>
    <x v="0"/>
    <x v="0"/>
    <x v="2"/>
    <d v="2026-06-11T00:00:00"/>
    <s v="Incorrect payer ID was used for enrollment or routing."/>
    <n v="51"/>
    <x v="0"/>
    <s v="NPI Match"/>
    <s v="No"/>
    <s v="Yes"/>
    <s v="No"/>
    <s v="No"/>
    <x v="0"/>
    <x v="1"/>
    <x v="0"/>
  </r>
  <r>
    <s v="ENR-0064"/>
    <s v="Greenway Internal Medicine"/>
    <s v="Dr. Owen Brown"/>
    <s v="IND-NPI-1064"/>
    <s v="GRP-NPI-9022"/>
    <s v="GRP-NPI-9022"/>
    <s v="GRP-NPI-9022"/>
    <s v="SYN-TIN-059"/>
    <x v="1"/>
    <s v="MED001"/>
    <s v="Government"/>
    <s v="PTAN-0064"/>
    <x v="1"/>
    <s v="Completed"/>
    <s v="Pending"/>
    <s v="Pending"/>
    <s v="Yes"/>
    <s v="In Progress"/>
    <d v="2026-02-11T00:00:00"/>
    <m/>
    <x v="1"/>
    <x v="3"/>
    <x v="4"/>
    <d v="2026-06-09T00:00:00"/>
    <s v="Waiting on payer approval or payer response."/>
    <n v="112"/>
    <x v="0"/>
    <s v="NPI Match"/>
    <s v="No"/>
    <s v="No"/>
    <s v="No"/>
    <s v="No"/>
    <x v="0"/>
    <x v="1"/>
    <x v="0"/>
  </r>
  <r>
    <s v="ENR-0065"/>
    <s v="Grand Oak Surgery Center"/>
    <s v="Dr. Alan Ali"/>
    <s v="IND-NPI-1065"/>
    <s v="GRP-NPI-9012"/>
    <s v="GRP-NPI-9012"/>
    <s v="GRP-NPI-9012"/>
    <s v="SYN-TIN-056"/>
    <x v="2"/>
    <s v="CIG001"/>
    <s v="Commercial"/>
    <s v="NA"/>
    <x v="1"/>
    <s v="In Progress"/>
    <s v="Not Started"/>
    <s v="Not Started"/>
    <s v="No"/>
    <s v="Not Started"/>
    <d v="2026-06-01T00:00:00"/>
    <m/>
    <x v="1"/>
    <x v="8"/>
    <x v="2"/>
    <d v="2026-06-10T00:00:00"/>
    <s v="Credentialing must be completed before enrollment can proceed."/>
    <n v="2"/>
    <x v="2"/>
    <s v="NPI Match"/>
    <s v="No"/>
    <s v="No"/>
    <s v="Yes"/>
    <s v="No"/>
    <x v="0"/>
    <x v="1"/>
    <x v="0"/>
  </r>
  <r>
    <s v="ENR-0066"/>
    <s v="Evergreen Urology"/>
    <s v="Dr. Zara Khan"/>
    <s v="IND-NPI-1066"/>
    <s v="GRP-NPI-9021"/>
    <s v="GRP-NPI-9021"/>
    <s v="GRP-NPI-9021"/>
    <s v="SYN-TIN-060"/>
    <x v="5"/>
    <s v="HUM001"/>
    <s v="Commercial"/>
    <s v="NA"/>
    <x v="0"/>
    <s v="Completed"/>
    <s v="Approved"/>
    <s v="Not Required"/>
    <s v="Yes"/>
    <s v="In Progress"/>
    <d v="2026-03-27T00:00:00"/>
    <m/>
    <x v="1"/>
    <x v="4"/>
    <x v="3"/>
    <d v="2026-06-10T00:00:00"/>
    <s v="ERA enrollment or routing is not fully completed."/>
    <n v="68"/>
    <x v="0"/>
    <s v="NPI Match"/>
    <s v="No"/>
    <s v="No"/>
    <s v="No"/>
    <s v="No"/>
    <x v="0"/>
    <x v="0"/>
    <x v="0"/>
  </r>
  <r>
    <s v="ENR-0067"/>
    <s v="Metro Spine Center"/>
    <s v="Dr. Mira Joshi"/>
    <s v="IND-NPI-1067"/>
    <s v="GRP-NPI-9025"/>
    <s v="GRP-NPI-9025"/>
    <s v="GRP-NPI-9025"/>
    <s v="SYN-TIN-034"/>
    <x v="6"/>
    <s v="OLD-BCBS"/>
    <s v="Commercial"/>
    <s v="NA"/>
    <x v="0"/>
    <s v="Completed"/>
    <s v="Rejected"/>
    <s v="Not Required"/>
    <s v="Yes"/>
    <s v="Issue Found"/>
    <d v="2026-05-19T00:00:00"/>
    <m/>
    <x v="0"/>
    <x v="10"/>
    <x v="4"/>
    <d v="2026-06-06T00:00:00"/>
    <s v="Outdated payer ID needs to be replaced with current payer ID."/>
    <n v="15"/>
    <x v="2"/>
    <s v="NPI Match"/>
    <s v="No"/>
    <s v="Yes"/>
    <s v="No"/>
    <s v="No"/>
    <x v="0"/>
    <x v="0"/>
    <x v="0"/>
  </r>
  <r>
    <s v="ENR-0068"/>
    <s v="Pine Ridge Family Clinic"/>
    <s v="Dr. Aditya Nguyen"/>
    <s v="IND-NPI-1068"/>
    <s v="GRP-NPI-9039"/>
    <s v="GRP-NPI-9039"/>
    <s v="GRP-NPI-9134"/>
    <s v="SYN-TIN-053"/>
    <x v="2"/>
    <s v="CIG001"/>
    <s v="Commercial"/>
    <s v="NA"/>
    <x v="1"/>
    <s v="Completed"/>
    <s v="Rejected"/>
    <s v="Rejected"/>
    <s v="Yes"/>
    <s v="Issue Found"/>
    <d v="2026-03-04T00:00:00"/>
    <m/>
    <x v="0"/>
    <x v="7"/>
    <x v="3"/>
    <d v="2026-06-04T00:00:00"/>
    <s v="Enrolled NPI does not match the payer-credentialed NPI."/>
    <n v="91"/>
    <x v="0"/>
    <s v="NPI Mismatch"/>
    <s v="Yes"/>
    <s v="No"/>
    <s v="No"/>
    <s v="No"/>
    <x v="0"/>
    <x v="1"/>
    <x v="0"/>
  </r>
  <r>
    <s v="ENR-0069"/>
    <s v="Valley View Gastro"/>
    <s v="Dr. Ivy Singh"/>
    <s v="IND-NPI-1069"/>
    <s v="GRP-NPI-9016"/>
    <s v="GRP-NPI-9016"/>
    <s v="GRP-NPI-9016"/>
    <s v="SYN-TIN-038"/>
    <x v="2"/>
    <s v="CIG001"/>
    <s v="Commercial"/>
    <s v="NA"/>
    <x v="1"/>
    <s v="In Progress"/>
    <s v="Not Started"/>
    <s v="Not Started"/>
    <s v="No"/>
    <s v="Not Started"/>
    <d v="2026-05-09T00:00:00"/>
    <m/>
    <x v="1"/>
    <x v="8"/>
    <x v="0"/>
    <d v="2026-06-03T00:00:00"/>
    <s v="Credentialing must be completed before enrollment can proceed."/>
    <n v="25"/>
    <x v="0"/>
    <s v="NPI Match"/>
    <s v="No"/>
    <s v="No"/>
    <s v="Yes"/>
    <s v="No"/>
    <x v="0"/>
    <x v="1"/>
    <x v="0"/>
  </r>
  <r>
    <s v="ENR-0070"/>
    <s v="Oak Street Primary Care"/>
    <s v="Dr. Noah Reed"/>
    <s v="IND-NPI-1070"/>
    <s v="GRP-NPI-9016"/>
    <s v="GRP-NPI-9016"/>
    <s v="GRP-NPI-9016"/>
    <s v="SYN-TIN-043"/>
    <x v="6"/>
    <s v="BCBS01"/>
    <s v="Commercial"/>
    <s v="NA"/>
    <x v="1"/>
    <s v="Completed"/>
    <s v="Approved"/>
    <s v="Pending"/>
    <s v="No"/>
    <s v="Pending"/>
    <d v="2026-05-30T00:00:00"/>
    <m/>
    <x v="1"/>
    <x v="1"/>
    <x v="2"/>
    <d v="2026-06-08T00:00:00"/>
    <s v="Clearinghouse route or portal setup needs update before go-live."/>
    <n v="4"/>
    <x v="2"/>
    <s v="NPI Match"/>
    <s v="No"/>
    <s v="No"/>
    <s v="Yes"/>
    <s v="No"/>
    <x v="0"/>
    <x v="1"/>
    <x v="0"/>
  </r>
  <r>
    <s v="ENR-0071"/>
    <s v="Silverline Neurology"/>
    <s v="Dr. Aria Khan"/>
    <s v="IND-NPI-1071"/>
    <s v="GRP-NPI-9020"/>
    <s v="GRP-NPI-9020"/>
    <s v="GRP-NPI-9020"/>
    <s v="SYN-TIN-024"/>
    <x v="6"/>
    <s v="BCBS01"/>
    <s v="Commercial"/>
    <s v="NA"/>
    <x v="0"/>
    <s v="In Progress"/>
    <s v="Not Started"/>
    <s v="Not Required"/>
    <s v="No"/>
    <s v="Not Started"/>
    <d v="2026-04-05T00:00:00"/>
    <m/>
    <x v="1"/>
    <x v="8"/>
    <x v="1"/>
    <d v="2026-06-04T00:00:00"/>
    <s v="Credentialing must be completed before enrollment can proceed."/>
    <n v="59"/>
    <x v="0"/>
    <s v="NPI Match"/>
    <s v="No"/>
    <s v="No"/>
    <s v="Yes"/>
    <s v="No"/>
    <x v="0"/>
    <x v="0"/>
    <x v="0"/>
  </r>
  <r>
    <s v="ENR-0072"/>
    <s v="Cedar Grove Clinic"/>
    <s v="Dr. Omar Torres"/>
    <s v="IND-NPI-1072"/>
    <s v="GRP-NPI-9031"/>
    <s v="GRP-NPI-9031"/>
    <s v="GRP-NPI-9031"/>
    <s v="SYN-TIN-013"/>
    <x v="6"/>
    <s v="BCBS01"/>
    <s v="Commercial"/>
    <s v="NA"/>
    <x v="1"/>
    <s v="Completed"/>
    <s v="Approved"/>
    <s v="Pending"/>
    <s v="Yes"/>
    <s v="In Progress"/>
    <d v="2026-05-29T00:00:00"/>
    <m/>
    <x v="1"/>
    <x v="4"/>
    <x v="4"/>
    <d v="2026-06-12T00:00:00"/>
    <s v="ERA enrollment or routing is not fully completed."/>
    <n v="5"/>
    <x v="2"/>
    <s v="NPI Match"/>
    <s v="No"/>
    <s v="No"/>
    <s v="No"/>
    <s v="No"/>
    <x v="0"/>
    <x v="1"/>
    <x v="0"/>
  </r>
  <r>
    <s v="ENR-0073"/>
    <s v="Evergreen Urology"/>
    <s v="Dr. Isha Brooks"/>
    <s v="IND-NPI-1073"/>
    <s v="GRP-NPI-9015"/>
    <s v="GRP-NPI-9015"/>
    <s v="GRP-NPI-9015"/>
    <s v="SYN-TIN-038"/>
    <x v="6"/>
    <s v="BCBS01"/>
    <s v="Commercial"/>
    <s v="NA"/>
    <x v="0"/>
    <s v="Completed"/>
    <s v="Approved"/>
    <s v="Not Required"/>
    <s v="Yes"/>
    <s v="Completed"/>
    <d v="2026-05-31T00:00:00"/>
    <d v="2026-06-01T00:00:00"/>
    <x v="2"/>
    <x v="2"/>
    <x v="0"/>
    <d v="2026-06-03T00:00:00"/>
    <s v="Record is ready for expected transaction flow."/>
    <n v="1"/>
    <x v="1"/>
    <s v="NPI Match"/>
    <s v="No"/>
    <s v="No"/>
    <s v="No"/>
    <s v="No"/>
    <x v="2"/>
    <x v="0"/>
    <x v="1"/>
  </r>
  <r>
    <s v="ENR-0074"/>
    <s v="Grand Oak Surgery Center"/>
    <s v="Dr. Sara Brown"/>
    <s v="IND-NPI-1074"/>
    <s v="GRP-NPI-9032"/>
    <s v="GRP-NPI-9032"/>
    <s v="GRP-NPI-9032"/>
    <s v="SYN-TIN-024"/>
    <x v="1"/>
    <s v="MED001"/>
    <s v="Government"/>
    <s v="PTAN-WRONG"/>
    <x v="1"/>
    <s v="Completed"/>
    <s v="Rejected"/>
    <s v="Rejected"/>
    <s v="Yes"/>
    <s v="Issue Found"/>
    <d v="2026-05-17T00:00:00"/>
    <m/>
    <x v="0"/>
    <x v="6"/>
    <x v="4"/>
    <d v="2026-06-10T00:00:00"/>
    <s v="PTAN or government payer provider number needs correction."/>
    <n v="17"/>
    <x v="2"/>
    <s v="NPI Match"/>
    <s v="Yes"/>
    <s v="No"/>
    <s v="No"/>
    <s v="Yes"/>
    <x v="0"/>
    <x v="1"/>
    <x v="0"/>
  </r>
  <r>
    <s v="ENR-0075"/>
    <s v="Northside Pediatrics"/>
    <s v="Dr. Hannah Carter"/>
    <s v="IND-NPI-1075"/>
    <s v="GRP-NPI-9031"/>
    <s v="GRP-NPI-9031"/>
    <s v="IND-NPI-1075"/>
    <s v="SYN-TIN-020"/>
    <x v="1"/>
    <s v="MED001"/>
    <s v="Government"/>
    <s v="PTAN-0075"/>
    <x v="1"/>
    <s v="Completed"/>
    <s v="Rejected"/>
    <s v="Rejected"/>
    <s v="Yes"/>
    <s v="Issue Found"/>
    <d v="2026-02-02T00:00:00"/>
    <m/>
    <x v="0"/>
    <x v="9"/>
    <x v="0"/>
    <d v="2026-06-12T00:00:00"/>
    <s v="Enrollment was submitted under individual NPI instead of group billing NPI."/>
    <n v="121"/>
    <x v="0"/>
    <s v="NPI Mismatch"/>
    <s v="Yes"/>
    <s v="No"/>
    <s v="No"/>
    <s v="No"/>
    <x v="0"/>
    <x v="1"/>
    <x v="0"/>
  </r>
  <r>
    <s v="ENR-0076"/>
    <s v="Hillcrest Orthopedics"/>
    <s v="Dr. Elias Brooks"/>
    <s v="IND-NPI-1076"/>
    <s v="GRP-NPI-9006"/>
    <s v="GRP-NPI-9006"/>
    <s v="GRP-NPI-9006"/>
    <s v="SYN-TIN-057"/>
    <x v="0"/>
    <s v="MCD-OLD"/>
    <s v="Government"/>
    <s v="PTAN-0076"/>
    <x v="0"/>
    <s v="Completed"/>
    <s v="Rejected"/>
    <s v="Not Required"/>
    <s v="Yes"/>
    <s v="Issue Found"/>
    <d v="2026-05-28T00:00:00"/>
    <m/>
    <x v="0"/>
    <x v="10"/>
    <x v="2"/>
    <d v="2026-06-09T00:00:00"/>
    <s v="Outdated payer ID needs to be replaced with current payer ID."/>
    <n v="6"/>
    <x v="2"/>
    <s v="NPI Match"/>
    <s v="No"/>
    <s v="Yes"/>
    <s v="No"/>
    <s v="No"/>
    <x v="0"/>
    <x v="0"/>
    <x v="0"/>
  </r>
  <r>
    <s v="ENR-0077"/>
    <s v="Summit Eye Care"/>
    <s v="Dr. Zara Ali"/>
    <s v="IND-NPI-1077"/>
    <s v="GRP-NPI-9020"/>
    <s v="GRP-NPI-9020"/>
    <s v="GRP-NPI-9107"/>
    <s v="SYN-TIN-034"/>
    <x v="3"/>
    <s v="UHC001"/>
    <s v="Commercial"/>
    <s v="NA"/>
    <x v="1"/>
    <s v="Completed"/>
    <s v="Rejected"/>
    <s v="Rejected"/>
    <s v="Yes"/>
    <s v="Issue Found"/>
    <d v="2026-03-09T00:00:00"/>
    <m/>
    <x v="0"/>
    <x v="7"/>
    <x v="3"/>
    <d v="2026-06-13T00:00:00"/>
    <s v="Enrolled NPI does not match the payer-credentialed NPI."/>
    <n v="86"/>
    <x v="0"/>
    <s v="NPI Mismatch"/>
    <s v="Yes"/>
    <s v="No"/>
    <s v="No"/>
    <s v="No"/>
    <x v="0"/>
    <x v="1"/>
    <x v="0"/>
  </r>
  <r>
    <s v="ENR-0078"/>
    <s v="Coral Springs Primary Care"/>
    <s v="Dr. Vivek Nair"/>
    <s v="IND-NPI-1078"/>
    <s v="GRP-NPI-9016"/>
    <s v="GRP-NPI-9016"/>
    <s v="GRP-NPI-9016"/>
    <s v="SYN-TIN-061"/>
    <x v="0"/>
    <s v="MCD002"/>
    <s v="Government"/>
    <s v="PTAN-0078"/>
    <x v="1"/>
    <s v="Completed"/>
    <s v="Approved"/>
    <s v="Approved"/>
    <s v="Yes"/>
    <s v="Completed"/>
    <d v="2026-04-29T00:00:00"/>
    <d v="2026-05-13T00:00:00"/>
    <x v="2"/>
    <x v="2"/>
    <x v="1"/>
    <d v="2026-06-14T00:00:00"/>
    <s v="Record is ready for expected transaction flow."/>
    <n v="14"/>
    <x v="1"/>
    <s v="NPI Match"/>
    <s v="No"/>
    <s v="No"/>
    <s v="No"/>
    <s v="No"/>
    <x v="2"/>
    <x v="2"/>
    <x v="1"/>
  </r>
  <r>
    <s v="ENR-0079"/>
    <s v="Summit Eye Care"/>
    <s v="Dr. Daniel Patel"/>
    <s v="IND-NPI-1079"/>
    <s v="GRP-NPI-9019"/>
    <s v="GRP-NPI-9019"/>
    <s v="GRP-NPI-9019"/>
    <s v="SYN-TIN-034"/>
    <x v="2"/>
    <s v="CIG001"/>
    <s v="Commercial"/>
    <s v="NA"/>
    <x v="2"/>
    <s v="Completed"/>
    <s v="Not Required"/>
    <s v="Pending"/>
    <s v="Yes"/>
    <s v="In Progress"/>
    <d v="2026-02-02T00:00:00"/>
    <m/>
    <x v="1"/>
    <x v="3"/>
    <x v="3"/>
    <d v="2026-06-13T00:00:00"/>
    <s v="Waiting on payer approval or payer response."/>
    <n v="121"/>
    <x v="0"/>
    <s v="NPI Match"/>
    <s v="No"/>
    <s v="No"/>
    <s v="No"/>
    <s v="No"/>
    <x v="1"/>
    <x v="1"/>
    <x v="0"/>
  </r>
  <r>
    <s v="ENR-0080"/>
    <s v="Liberty Primary Care"/>
    <s v="Dr. Zara Joshi"/>
    <s v="IND-NPI-1080"/>
    <s v="GRP-NPI-9013"/>
    <s v="GRP-NPI-9013"/>
    <s v="GRP-NPI-9013"/>
    <s v="SYN-TIN-008"/>
    <x v="4"/>
    <s v="AET001"/>
    <s v="Commercial"/>
    <s v="NA"/>
    <x v="0"/>
    <s v="Completed"/>
    <s v="Approved"/>
    <s v="Not Required"/>
    <s v="Yes"/>
    <s v="Completed"/>
    <d v="2026-02-22T00:00:00"/>
    <d v="2026-03-05T00:00:00"/>
    <x v="2"/>
    <x v="2"/>
    <x v="0"/>
    <d v="2026-06-05T00:00:00"/>
    <s v="Record is ready for expected transaction flow."/>
    <n v="11"/>
    <x v="1"/>
    <s v="NPI Match"/>
    <s v="No"/>
    <s v="No"/>
    <s v="No"/>
    <s v="No"/>
    <x v="2"/>
    <x v="0"/>
    <x v="1"/>
  </r>
  <r>
    <s v="ENR-0081"/>
    <s v="BrightCare Cardiology"/>
    <s v="Dr. Farah Ahmed"/>
    <s v="IND-NPI-1081"/>
    <s v="GRP-NPI-9037"/>
    <s v="GRP-NPI-9037"/>
    <s v="IND-NPI-1081"/>
    <s v="SYN-TIN-035"/>
    <x v="6"/>
    <s v="BCBS01"/>
    <s v="Commercial"/>
    <s v="NA"/>
    <x v="2"/>
    <s v="Completed"/>
    <s v="Not Required"/>
    <s v="Rejected"/>
    <s v="Yes"/>
    <s v="Issue Found"/>
    <d v="2026-04-02T00:00:00"/>
    <m/>
    <x v="0"/>
    <x v="9"/>
    <x v="2"/>
    <d v="2026-06-14T00:00:00"/>
    <s v="Enrollment was submitted under individual NPI instead of group billing NPI."/>
    <n v="62"/>
    <x v="0"/>
    <s v="NPI Mismatch"/>
    <s v="Yes"/>
    <s v="No"/>
    <s v="No"/>
    <s v="No"/>
    <x v="1"/>
    <x v="1"/>
    <x v="0"/>
  </r>
  <r>
    <s v="ENR-0082"/>
    <s v="Riverside Behavioral Health"/>
    <s v="Dr. Samir Mehta"/>
    <s v="IND-NPI-1082"/>
    <s v="GRP-NPI-9029"/>
    <s v="GRP-NPI-9029"/>
    <s v="GRP-NPI-9029"/>
    <s v="SYN-TIN-004"/>
    <x v="1"/>
    <s v="MED001"/>
    <s v="Government"/>
    <s v="PTAN-0082"/>
    <x v="1"/>
    <s v="Completed"/>
    <s v="Approved"/>
    <s v="Pending"/>
    <s v="Yes"/>
    <s v="In Progress"/>
    <d v="2026-04-07T00:00:00"/>
    <m/>
    <x v="1"/>
    <x v="4"/>
    <x v="4"/>
    <d v="2026-06-12T00:00:00"/>
    <s v="ERA enrollment or routing is not fully completed."/>
    <n v="57"/>
    <x v="0"/>
    <s v="NPI Match"/>
    <s v="No"/>
    <s v="No"/>
    <s v="No"/>
    <s v="No"/>
    <x v="0"/>
    <x v="1"/>
    <x v="0"/>
  </r>
  <r>
    <s v="ENR-0083"/>
    <s v="Greenway Internal Medicine"/>
    <s v="Dr. Lily Joshi"/>
    <s v="IND-NPI-1083"/>
    <s v="GRP-NPI-9037"/>
    <s v="GRP-NPI-9037"/>
    <s v="GRP-NPI-9037"/>
    <s v="SYN-TIN-023"/>
    <x v="3"/>
    <s v="UHC001"/>
    <s v="Commercial"/>
    <s v="NA"/>
    <x v="1"/>
    <s v="Completed"/>
    <s v="Approved"/>
    <s v="Pending"/>
    <s v="Yes"/>
    <s v="In Progress"/>
    <d v="2026-03-24T00:00:00"/>
    <m/>
    <x v="1"/>
    <x v="4"/>
    <x v="0"/>
    <d v="2026-06-12T00:00:00"/>
    <s v="ERA enrollment or routing is not fully completed."/>
    <n v="71"/>
    <x v="0"/>
    <s v="NPI Match"/>
    <s v="No"/>
    <s v="No"/>
    <s v="No"/>
    <s v="No"/>
    <x v="0"/>
    <x v="1"/>
    <x v="0"/>
  </r>
  <r>
    <s v="ENR-0084"/>
    <s v="Valley View Gastro"/>
    <s v="Dr. Nora Brown"/>
    <s v="IND-NPI-1084"/>
    <s v="GRP-NPI-9029"/>
    <s v="GRP-NPI-9029"/>
    <s v="GRP-NPI-9141"/>
    <s v="SYN-TIN-045"/>
    <x v="6"/>
    <s v="BCBS01"/>
    <s v="Commercial"/>
    <s v="NA"/>
    <x v="0"/>
    <s v="Completed"/>
    <s v="Rejected"/>
    <s v="Not Required"/>
    <s v="Yes"/>
    <s v="Issue Found"/>
    <d v="2026-05-20T00:00:00"/>
    <m/>
    <x v="0"/>
    <x v="7"/>
    <x v="2"/>
    <d v="2026-06-04T00:00:00"/>
    <s v="Enrolled NPI does not match the payer-credentialed NPI."/>
    <n v="14"/>
    <x v="2"/>
    <s v="NPI Mismatch"/>
    <s v="Yes"/>
    <s v="No"/>
    <s v="No"/>
    <s v="No"/>
    <x v="0"/>
    <x v="0"/>
    <x v="0"/>
  </r>
  <r>
    <s v="ENR-0085"/>
    <s v="Southview Endocrinology"/>
    <s v="Dr. Meera Iyer"/>
    <s v="IND-NPI-1085"/>
    <s v="GRP-NPI-9043"/>
    <s v="GRP-NPI-9043"/>
    <s v="GRP-NPI-9043"/>
    <s v="SYN-TIN-005"/>
    <x v="1"/>
    <s v="MED001"/>
    <s v="Government"/>
    <s v="PTAN-0085"/>
    <x v="1"/>
    <s v="Completed"/>
    <s v="Approved"/>
    <s v="Pending"/>
    <s v="No"/>
    <s v="Pending"/>
    <d v="2026-05-21T00:00:00"/>
    <m/>
    <x v="1"/>
    <x v="1"/>
    <x v="2"/>
    <d v="2026-06-07T00:00:00"/>
    <s v="Clearinghouse route or portal setup needs update before go-live."/>
    <n v="13"/>
    <x v="2"/>
    <s v="NPI Match"/>
    <s v="No"/>
    <s v="No"/>
    <s v="Yes"/>
    <s v="No"/>
    <x v="0"/>
    <x v="1"/>
    <x v="0"/>
  </r>
  <r>
    <s v="ENR-0086"/>
    <s v="Blue Harbor ENT"/>
    <s v="Dr. Vivek Iyer"/>
    <s v="IND-NPI-1086"/>
    <s v="GRP-NPI-9017"/>
    <s v="GRP-NPI-9017"/>
    <s v="GRP-NPI-9017"/>
    <s v="SYN-TIN-007"/>
    <x v="6"/>
    <s v="OLD-BCBS"/>
    <s v="Commercial"/>
    <s v="NA"/>
    <x v="0"/>
    <s v="Completed"/>
    <s v="Rejected"/>
    <s v="Not Required"/>
    <s v="Yes"/>
    <s v="Issue Found"/>
    <d v="2026-06-02T00:00:00"/>
    <m/>
    <x v="0"/>
    <x v="0"/>
    <x v="2"/>
    <d v="2026-06-10T00:00:00"/>
    <s v="Incorrect payer ID was used for enrollment or routing."/>
    <n v="1"/>
    <x v="2"/>
    <s v="NPI Match"/>
    <s v="No"/>
    <s v="Yes"/>
    <s v="No"/>
    <s v="No"/>
    <x v="0"/>
    <x v="0"/>
    <x v="0"/>
  </r>
  <r>
    <s v="ENR-0087"/>
    <s v="Cedar Grove Clinic"/>
    <s v="Dr. Nora Gray"/>
    <s v="IND-NPI-1087"/>
    <s v="GRP-NPI-9040"/>
    <s v="GRP-NPI-9040"/>
    <s v="IND-NPI-1087"/>
    <s v="SYN-TIN-017"/>
    <x v="5"/>
    <s v="HUM001"/>
    <s v="Commercial"/>
    <s v="NA"/>
    <x v="1"/>
    <s v="Completed"/>
    <s v="Rejected"/>
    <s v="Rejected"/>
    <s v="Yes"/>
    <s v="Issue Found"/>
    <d v="2026-01-28T00:00:00"/>
    <m/>
    <x v="0"/>
    <x v="9"/>
    <x v="4"/>
    <d v="2026-06-06T00:00:00"/>
    <s v="Enrollment was submitted under individual NPI instead of group billing NPI."/>
    <n v="126"/>
    <x v="0"/>
    <s v="NPI Mismatch"/>
    <s v="Yes"/>
    <s v="No"/>
    <s v="No"/>
    <s v="No"/>
    <x v="0"/>
    <x v="1"/>
    <x v="0"/>
  </r>
  <r>
    <s v="ENR-0088"/>
    <s v="Canyon Ridge Clinic"/>
    <s v="Dr. Grace Morgan"/>
    <s v="IND-NPI-1088"/>
    <s v="GRP-NPI-9045"/>
    <s v="GRP-NPI-9045"/>
    <s v="GRP-NPI-9045"/>
    <s v="SYN-TIN-040"/>
    <x v="4"/>
    <s v="AET001"/>
    <s v="Commercial"/>
    <s v="NA"/>
    <x v="0"/>
    <s v="Completed"/>
    <s v="Approved"/>
    <s v="Not Required"/>
    <s v="Yes"/>
    <s v="In Progress"/>
    <d v="2026-03-17T00:00:00"/>
    <m/>
    <x v="1"/>
    <x v="4"/>
    <x v="3"/>
    <d v="2026-06-14T00:00:00"/>
    <s v="ERA enrollment or routing is not fully completed."/>
    <n v="78"/>
    <x v="0"/>
    <s v="NPI Match"/>
    <s v="No"/>
    <s v="No"/>
    <s v="No"/>
    <s v="No"/>
    <x v="0"/>
    <x v="0"/>
    <x v="0"/>
  </r>
  <r>
    <s v="ENR-0089"/>
    <s v="Sunrise Family Medicine"/>
    <s v="Dr. Asha Rao"/>
    <s v="IND-NPI-1089"/>
    <s v="GRP-NPI-9027"/>
    <s v="GRP-NPI-9027"/>
    <s v="GRP-NPI-9027"/>
    <s v="SYN-TIN-020"/>
    <x v="1"/>
    <s v="MED001"/>
    <s v="Government"/>
    <s v="PTAN-0089"/>
    <x v="0"/>
    <s v="Completed"/>
    <s v="Pending"/>
    <s v="Not Required"/>
    <s v="Yes"/>
    <s v="In Progress"/>
    <d v="2026-02-13T00:00:00"/>
    <m/>
    <x v="1"/>
    <x v="3"/>
    <x v="0"/>
    <d v="2026-06-10T00:00:00"/>
    <s v="Waiting on payer approval or payer response."/>
    <n v="110"/>
    <x v="0"/>
    <s v="NPI Match"/>
    <s v="No"/>
    <s v="No"/>
    <s v="No"/>
    <s v="No"/>
    <x v="0"/>
    <x v="0"/>
    <x v="0"/>
  </r>
  <r>
    <s v="ENR-0090"/>
    <s v="Valley View Gastro"/>
    <s v="Dr. Grace Scott"/>
    <s v="IND-NPI-1090"/>
    <s v="GRP-NPI-9018"/>
    <s v="GRP-NPI-9018"/>
    <s v="GRP-NPI-9018"/>
    <s v="SYN-TIN-019"/>
    <x v="4"/>
    <s v="AET001"/>
    <s v="Commercial"/>
    <s v="NA"/>
    <x v="1"/>
    <s v="Completed"/>
    <s v="Approved"/>
    <s v="Pending"/>
    <s v="Yes"/>
    <s v="In Progress"/>
    <d v="2026-03-18T00:00:00"/>
    <m/>
    <x v="1"/>
    <x v="4"/>
    <x v="1"/>
    <d v="2026-06-10T00:00:00"/>
    <s v="ERA enrollment or routing is not fully completed."/>
    <n v="77"/>
    <x v="0"/>
    <s v="NPI Match"/>
    <s v="No"/>
    <s v="No"/>
    <s v="No"/>
    <s v="No"/>
    <x v="0"/>
    <x v="1"/>
    <x v="0"/>
  </r>
  <r>
    <s v="ENR-0091"/>
    <s v="Maple Leaf Urgent Care"/>
    <s v="Dr. Isha Bennett"/>
    <s v="IND-NPI-1091"/>
    <s v="GRP-NPI-9039"/>
    <s v="GRP-NPI-9039"/>
    <s v="GRP-NPI-9039"/>
    <s v="SYN-TIN-065"/>
    <x v="3"/>
    <s v="UHC001"/>
    <s v="Commercial"/>
    <s v="NA"/>
    <x v="1"/>
    <s v="Completed"/>
    <s v="Approved"/>
    <s v="Approved"/>
    <s v="Yes"/>
    <s v="Completed"/>
    <d v="2026-02-01T00:00:00"/>
    <d v="2026-02-12T00:00:00"/>
    <x v="2"/>
    <x v="2"/>
    <x v="4"/>
    <d v="2026-06-09T00:00:00"/>
    <s v="Record is ready for expected transaction flow."/>
    <n v="11"/>
    <x v="1"/>
    <s v="NPI Match"/>
    <s v="No"/>
    <s v="No"/>
    <s v="No"/>
    <s v="No"/>
    <x v="2"/>
    <x v="2"/>
    <x v="1"/>
  </r>
  <r>
    <s v="ENR-0092"/>
    <s v="Westbrook Dermatology"/>
    <s v="Dr. Asha Brooks"/>
    <s v="IND-NPI-1092"/>
    <s v="GRP-NPI-9020"/>
    <s v="GRP-NPI-9020"/>
    <s v="GRP-NPI-9020"/>
    <s v="SYN-TIN-062"/>
    <x v="5"/>
    <s v="HUM001"/>
    <s v="Commercial"/>
    <s v="NA"/>
    <x v="1"/>
    <s v="Completed"/>
    <s v="Approved"/>
    <s v="Pending"/>
    <s v="Yes"/>
    <s v="In Progress"/>
    <d v="2026-05-20T00:00:00"/>
    <m/>
    <x v="1"/>
    <x v="4"/>
    <x v="2"/>
    <d v="2026-06-05T00:00:00"/>
    <s v="ERA enrollment or routing is not fully completed."/>
    <n v="14"/>
    <x v="2"/>
    <s v="NPI Match"/>
    <s v="No"/>
    <s v="No"/>
    <s v="No"/>
    <s v="No"/>
    <x v="0"/>
    <x v="1"/>
    <x v="0"/>
  </r>
  <r>
    <s v="ENR-0093"/>
    <s v="Silverline Neurology"/>
    <s v="Dr. Meera Rao"/>
    <s v="IND-NPI-1093"/>
    <s v="GRP-NPI-9035"/>
    <s v="GRP-NPI-9035"/>
    <s v="GRP-NPI-9035"/>
    <s v="SYN-TIN-050"/>
    <x v="4"/>
    <s v="AET001"/>
    <s v="Commercial"/>
    <s v="NA"/>
    <x v="1"/>
    <s v="Completed"/>
    <s v="Approved"/>
    <s v="Pending"/>
    <s v="No"/>
    <s v="Pending"/>
    <d v="2026-03-04T00:00:00"/>
    <m/>
    <x v="1"/>
    <x v="1"/>
    <x v="3"/>
    <d v="2026-06-14T00:00:00"/>
    <s v="Clearinghouse route or portal setup needs update before go-live."/>
    <n v="91"/>
    <x v="0"/>
    <s v="NPI Match"/>
    <s v="No"/>
    <s v="No"/>
    <s v="Yes"/>
    <s v="No"/>
    <x v="0"/>
    <x v="1"/>
    <x v="0"/>
  </r>
  <r>
    <s v="ENR-0094"/>
    <s v="Oak Street Primary Care"/>
    <s v="Dr. Mina Rao"/>
    <s v="IND-NPI-1094"/>
    <s v="GRP-NPI-9021"/>
    <s v="GRP-NPI-9021"/>
    <s v="GRP-NPI-9021"/>
    <s v="SYN-TIN-064"/>
    <x v="2"/>
    <s v="CIG001"/>
    <s v="Commercial"/>
    <s v="NA"/>
    <x v="1"/>
    <s v="Completed"/>
    <s v="Pending"/>
    <s v="Pending"/>
    <s v="Yes"/>
    <s v="In Progress"/>
    <d v="2026-04-22T00:00:00"/>
    <m/>
    <x v="1"/>
    <x v="3"/>
    <x v="3"/>
    <d v="2026-06-09T00:00:00"/>
    <s v="Waiting on payer approval or payer response."/>
    <n v="42"/>
    <x v="0"/>
    <s v="NPI Match"/>
    <s v="No"/>
    <s v="No"/>
    <s v="No"/>
    <s v="No"/>
    <x v="0"/>
    <x v="1"/>
    <x v="0"/>
  </r>
  <r>
    <s v="ENR-0095"/>
    <s v="Northside Pediatrics"/>
    <s v="Dr. Sara Scott"/>
    <s v="IND-NPI-1095"/>
    <s v="GRP-NPI-9038"/>
    <s v="GRP-NPI-9038"/>
    <s v="GRP-NPI-9038"/>
    <s v="SYN-TIN-059"/>
    <x v="6"/>
    <s v="BCBS01"/>
    <s v="Commercial"/>
    <s v="NA"/>
    <x v="1"/>
    <s v="Completed"/>
    <s v="Pending"/>
    <s v="Pending"/>
    <s v="Yes"/>
    <s v="In Progress"/>
    <d v="2026-05-07T00:00:00"/>
    <m/>
    <x v="1"/>
    <x v="3"/>
    <x v="1"/>
    <d v="2026-06-04T00:00:00"/>
    <s v="Waiting on payer approval or payer response."/>
    <n v="27"/>
    <x v="0"/>
    <s v="NPI Match"/>
    <s v="No"/>
    <s v="No"/>
    <s v="No"/>
    <s v="No"/>
    <x v="0"/>
    <x v="1"/>
    <x v="0"/>
  </r>
  <r>
    <s v="ENR-0096"/>
    <s v="River Valley Family Care"/>
    <s v="Dr. Alan Ali"/>
    <s v="IND-NPI-1096"/>
    <s v="GRP-NPI-9042"/>
    <s v="GRP-NPI-9042"/>
    <s v="GRP-NPI-9042"/>
    <s v="SYN-TIN-011"/>
    <x v="0"/>
    <s v="WRONG-MCD"/>
    <s v="Government"/>
    <s v="PTAN-0096"/>
    <x v="0"/>
    <s v="Completed"/>
    <s v="Rejected"/>
    <s v="Not Required"/>
    <s v="Yes"/>
    <s v="Issue Found"/>
    <d v="2026-04-11T00:00:00"/>
    <m/>
    <x v="0"/>
    <x v="10"/>
    <x v="2"/>
    <d v="2026-06-12T00:00:00"/>
    <s v="Outdated payer ID needs to be replaced with current payer ID."/>
    <n v="53"/>
    <x v="0"/>
    <s v="NPI Match"/>
    <s v="No"/>
    <s v="Yes"/>
    <s v="No"/>
    <s v="No"/>
    <x v="0"/>
    <x v="0"/>
    <x v="0"/>
  </r>
  <r>
    <s v="ENR-0097"/>
    <s v="Harborview Pediatrics"/>
    <s v="Dr. Meera Carter"/>
    <s v="IND-NPI-1097"/>
    <s v="GRP-NPI-9044"/>
    <s v="GRP-NPI-9044"/>
    <s v="GRP-NPI-9044"/>
    <s v="SYN-TIN-009"/>
    <x v="5"/>
    <s v="HUM001"/>
    <s v="Commercial"/>
    <s v="NA"/>
    <x v="1"/>
    <s v="Completed"/>
    <s v="Approved"/>
    <s v="Pending"/>
    <s v="Yes"/>
    <s v="In Progress"/>
    <d v="2026-05-19T00:00:00"/>
    <m/>
    <x v="1"/>
    <x v="4"/>
    <x v="0"/>
    <d v="2026-06-11T00:00:00"/>
    <s v="ERA enrollment or routing is not fully completed."/>
    <n v="15"/>
    <x v="2"/>
    <s v="NPI Match"/>
    <s v="No"/>
    <s v="No"/>
    <s v="No"/>
    <s v="No"/>
    <x v="0"/>
    <x v="1"/>
    <x v="0"/>
  </r>
  <r>
    <s v="ENR-0098"/>
    <s v="Oak Street Primary Care"/>
    <s v="Dr. Grace Patel"/>
    <s v="IND-NPI-1098"/>
    <s v="GRP-NPI-9006"/>
    <s v="GRP-NPI-9006"/>
    <s v="GRP-NPI-9006"/>
    <s v="SYN-TIN-004"/>
    <x v="4"/>
    <s v="AET-OLD"/>
    <s v="Commercial"/>
    <s v="NA"/>
    <x v="1"/>
    <s v="Completed"/>
    <s v="Rejected"/>
    <s v="Rejected"/>
    <s v="Yes"/>
    <s v="Issue Found"/>
    <d v="2026-05-08T00:00:00"/>
    <m/>
    <x v="0"/>
    <x v="0"/>
    <x v="4"/>
    <d v="2026-06-05T00:00:00"/>
    <s v="Incorrect payer ID was used for enrollment or routing."/>
    <n v="26"/>
    <x v="0"/>
    <s v="NPI Match"/>
    <s v="No"/>
    <s v="Yes"/>
    <s v="No"/>
    <s v="No"/>
    <x v="0"/>
    <x v="1"/>
    <x v="0"/>
  </r>
  <r>
    <s v="ENR-0099"/>
    <s v="Northside Pediatrics"/>
    <s v="Dr. Kevin Rivera"/>
    <s v="IND-NPI-1099"/>
    <s v="GRP-NPI-9004"/>
    <s v="GRP-NPI-9004"/>
    <s v="IND-NPI-1099"/>
    <s v="SYN-TIN-024"/>
    <x v="6"/>
    <s v="BCBS01"/>
    <s v="Commercial"/>
    <s v="NA"/>
    <x v="2"/>
    <s v="Completed"/>
    <s v="Not Required"/>
    <s v="Rejected"/>
    <s v="Yes"/>
    <s v="Issue Found"/>
    <d v="2026-03-18T00:00:00"/>
    <m/>
    <x v="0"/>
    <x v="9"/>
    <x v="2"/>
    <d v="2026-06-11T00:00:00"/>
    <s v="Enrollment was submitted under individual NPI instead of group billing NPI."/>
    <n v="77"/>
    <x v="0"/>
    <s v="NPI Mismatch"/>
    <s v="Yes"/>
    <s v="No"/>
    <s v="No"/>
    <s v="No"/>
    <x v="1"/>
    <x v="1"/>
    <x v="0"/>
  </r>
  <r>
    <s v="ENR-0100"/>
    <s v="BrightCare Cardiology"/>
    <s v="Dr. Thomas Lee"/>
    <s v="IND-NPI-1100"/>
    <s v="GRP-NPI-9040"/>
    <s v="GRP-NPI-9040"/>
    <s v="GRP-NPI-9040"/>
    <s v="SYN-TIN-030"/>
    <x v="5"/>
    <s v="HUM001"/>
    <s v="Commercial"/>
    <s v="NA"/>
    <x v="2"/>
    <s v="In Progress"/>
    <s v="Not Required"/>
    <s v="Not Started"/>
    <s v="No"/>
    <s v="Not Started"/>
    <d v="2026-05-22T00:00:00"/>
    <m/>
    <x v="1"/>
    <x v="8"/>
    <x v="3"/>
    <d v="2026-06-12T00:00:00"/>
    <s v="Credentialing must be completed before enrollment can proceed."/>
    <n v="12"/>
    <x v="2"/>
    <s v="NPI Match"/>
    <s v="No"/>
    <s v="No"/>
    <s v="Yes"/>
    <s v="No"/>
    <x v="1"/>
    <x v="1"/>
    <x v="0"/>
  </r>
  <r>
    <s v="ENR-0101"/>
    <s v="Blue Harbor ENT"/>
    <s v="Dr. Hannah Morgan"/>
    <s v="IND-NPI-1101"/>
    <s v="GRP-NPI-9017"/>
    <s v="GRP-NPI-9017"/>
    <s v="GRP-NPI-9017"/>
    <s v="SYN-TIN-045"/>
    <x v="2"/>
    <s v="WRONG-CIG"/>
    <s v="Commercial"/>
    <s v="NA"/>
    <x v="0"/>
    <s v="Completed"/>
    <s v="Rejected"/>
    <s v="Not Required"/>
    <s v="Yes"/>
    <s v="Issue Found"/>
    <d v="2026-02-24T00:00:00"/>
    <m/>
    <x v="0"/>
    <x v="10"/>
    <x v="2"/>
    <d v="2026-06-04T00:00:00"/>
    <s v="Outdated payer ID needs to be replaced with current payer ID."/>
    <n v="99"/>
    <x v="0"/>
    <s v="NPI Match"/>
    <s v="No"/>
    <s v="Yes"/>
    <s v="No"/>
    <s v="No"/>
    <x v="0"/>
    <x v="0"/>
    <x v="0"/>
  </r>
  <r>
    <s v="ENR-0102"/>
    <s v="Metro Spine Center"/>
    <s v="Dr. Farah Brown"/>
    <s v="IND-NPI-1102"/>
    <s v="GRP-NPI-9028"/>
    <s v="GRP-NPI-9028"/>
    <s v="GRP-NPI-9028"/>
    <s v="SYN-TIN-031"/>
    <x v="2"/>
    <s v="CIG-OLD"/>
    <s v="Commercial"/>
    <s v="NA"/>
    <x v="2"/>
    <s v="Completed"/>
    <s v="Not Required"/>
    <s v="Rejected"/>
    <s v="Yes"/>
    <s v="Issue Found"/>
    <d v="2026-04-23T00:00:00"/>
    <m/>
    <x v="0"/>
    <x v="10"/>
    <x v="0"/>
    <d v="2026-06-10T00:00:00"/>
    <s v="Outdated payer ID needs to be replaced with current payer ID."/>
    <n v="41"/>
    <x v="0"/>
    <s v="NPI Match"/>
    <s v="No"/>
    <s v="Yes"/>
    <s v="No"/>
    <s v="No"/>
    <x v="1"/>
    <x v="1"/>
    <x v="0"/>
  </r>
  <r>
    <s v="ENR-0103"/>
    <s v="Maple Leaf Urgent Care"/>
    <s v="Dr. Elias Gray"/>
    <s v="IND-NPI-1103"/>
    <s v="GRP-NPI-9037"/>
    <s v="GRP-NPI-9037"/>
    <s v="GRP-NPI-9037"/>
    <s v="SYN-TIN-007"/>
    <x v="6"/>
    <s v="BCBS01"/>
    <s v="Commercial"/>
    <s v="NA"/>
    <x v="1"/>
    <s v="Completed"/>
    <s v="Approved"/>
    <s v="Pending"/>
    <s v="No"/>
    <s v="Pending"/>
    <d v="2026-04-26T00:00:00"/>
    <m/>
    <x v="1"/>
    <x v="1"/>
    <x v="0"/>
    <d v="2026-06-07T00:00:00"/>
    <s v="Clearinghouse route or portal setup needs update before go-live."/>
    <n v="38"/>
    <x v="0"/>
    <s v="NPI Match"/>
    <s v="No"/>
    <s v="No"/>
    <s v="Yes"/>
    <s v="No"/>
    <x v="0"/>
    <x v="1"/>
    <x v="0"/>
  </r>
  <r>
    <s v="ENR-0104"/>
    <s v="Canyon Ridge Clinic"/>
    <s v="Dr. Aiden Torres"/>
    <s v="IND-NPI-1104"/>
    <s v="GRP-NPI-9032"/>
    <s v="GRP-NPI-9032"/>
    <s v="GRP-NPI-9032"/>
    <s v="SYN-TIN-029"/>
    <x v="5"/>
    <s v="HUM001"/>
    <s v="Commercial"/>
    <s v="NA"/>
    <x v="1"/>
    <s v="Completed"/>
    <s v="Approved"/>
    <s v="Pending"/>
    <s v="No"/>
    <s v="Pending"/>
    <d v="2026-03-14T00:00:00"/>
    <m/>
    <x v="1"/>
    <x v="1"/>
    <x v="4"/>
    <d v="2026-06-12T00:00:00"/>
    <s v="Clearinghouse route or portal setup needs update before go-live."/>
    <n v="81"/>
    <x v="0"/>
    <s v="NPI Match"/>
    <s v="No"/>
    <s v="No"/>
    <s v="Yes"/>
    <s v="No"/>
    <x v="0"/>
    <x v="1"/>
    <x v="0"/>
  </r>
  <r>
    <s v="ENR-0105"/>
    <s v="Eastwood Pulmonary"/>
    <s v="Dr. Isha Ahmed"/>
    <s v="IND-NPI-1105"/>
    <s v="GRP-NPI-9017"/>
    <s v="GRP-NPI-9017"/>
    <s v="GRP-NPI-9017"/>
    <s v="SYN-TIN-040"/>
    <x v="2"/>
    <s v="CIG-OLD"/>
    <s v="Commercial"/>
    <s v="NA"/>
    <x v="1"/>
    <s v="Completed"/>
    <s v="Rejected"/>
    <s v="Rejected"/>
    <s v="Yes"/>
    <s v="Issue Found"/>
    <d v="2026-02-08T00:00:00"/>
    <m/>
    <x v="0"/>
    <x v="0"/>
    <x v="0"/>
    <d v="2026-06-13T00:00:00"/>
    <s v="Incorrect payer ID was used for enrollment or routing."/>
    <n v="115"/>
    <x v="0"/>
    <s v="NPI Match"/>
    <s v="No"/>
    <s v="Yes"/>
    <s v="No"/>
    <s v="No"/>
    <x v="0"/>
    <x v="1"/>
    <x v="0"/>
  </r>
  <r>
    <s v="ENR-0106"/>
    <s v="Liberty Primary Care"/>
    <s v="Dr. Leah Rao"/>
    <s v="IND-NPI-1106"/>
    <s v="GRP-NPI-9038"/>
    <s v="GRP-NPI-9038"/>
    <s v="GRP-NPI-9038"/>
    <s v="SYN-TIN-023"/>
    <x v="6"/>
    <s v="BCBS01"/>
    <s v="Commercial"/>
    <s v="NA"/>
    <x v="1"/>
    <s v="Completed"/>
    <s v="Approved"/>
    <s v="Approved"/>
    <s v="Yes"/>
    <s v="Completed"/>
    <d v="2026-03-31T00:00:00"/>
    <d v="2026-04-12T00:00:00"/>
    <x v="2"/>
    <x v="2"/>
    <x v="2"/>
    <d v="2026-06-14T00:00:00"/>
    <s v="Record is ready for expected transaction flow."/>
    <n v="12"/>
    <x v="1"/>
    <s v="NPI Match"/>
    <s v="No"/>
    <s v="No"/>
    <s v="No"/>
    <s v="No"/>
    <x v="2"/>
    <x v="2"/>
    <x v="1"/>
  </r>
  <r>
    <s v="ENR-0107"/>
    <s v="Cedar Grove Clinic"/>
    <s v="Dr. Sara Rivera"/>
    <s v="IND-NPI-1107"/>
    <s v="GRP-NPI-9035"/>
    <s v="GRP-NPI-9035"/>
    <s v="GRP-NPI-9035"/>
    <s v="SYN-TIN-038"/>
    <x v="6"/>
    <s v="BCBS01"/>
    <s v="Commercial"/>
    <s v="NA"/>
    <x v="1"/>
    <s v="Completed"/>
    <s v="Pending"/>
    <s v="Pending"/>
    <s v="Yes"/>
    <s v="In Progress"/>
    <d v="2026-02-26T00:00:00"/>
    <m/>
    <x v="1"/>
    <x v="3"/>
    <x v="2"/>
    <d v="2026-06-07T00:00:00"/>
    <s v="Waiting on payer approval or payer response."/>
    <n v="97"/>
    <x v="0"/>
    <s v="NPI Match"/>
    <s v="No"/>
    <s v="No"/>
    <s v="No"/>
    <s v="No"/>
    <x v="0"/>
    <x v="1"/>
    <x v="0"/>
  </r>
  <r>
    <s v="ENR-0108"/>
    <s v="Willow Creek Pediatrics"/>
    <s v="Dr. Meera Rivera"/>
    <s v="IND-NPI-1108"/>
    <s v="GRP-NPI-9008"/>
    <s v="GRP-NPI-9008"/>
    <s v="GRP-NPI-9008"/>
    <s v="SYN-TIN-047"/>
    <x v="4"/>
    <s v="AET001"/>
    <s v="Commercial"/>
    <s v="NA"/>
    <x v="1"/>
    <s v="Completed"/>
    <s v="Approved"/>
    <s v="Approved"/>
    <s v="Yes"/>
    <s v="Completed"/>
    <d v="2026-03-13T00:00:00"/>
    <d v="2026-04-02T00:00:00"/>
    <x v="2"/>
    <x v="2"/>
    <x v="2"/>
    <d v="2026-06-13T00:00:00"/>
    <s v="Record is ready for expected transaction flow."/>
    <n v="20"/>
    <x v="1"/>
    <s v="NPI Match"/>
    <s v="No"/>
    <s v="No"/>
    <s v="No"/>
    <s v="No"/>
    <x v="2"/>
    <x v="2"/>
    <x v="1"/>
  </r>
  <r>
    <s v="ENR-0109"/>
    <s v="Greenway Internal Medicine"/>
    <s v="Dr. Noah Menon"/>
    <s v="IND-NPI-1109"/>
    <s v="GRP-NPI-9017"/>
    <s v="GRP-NPI-9017"/>
    <s v="GRP-NPI-9017"/>
    <s v="SYN-TIN-048"/>
    <x v="3"/>
    <s v="UHC001"/>
    <s v="Commercial"/>
    <s v="NA"/>
    <x v="0"/>
    <s v="Completed"/>
    <s v="Approved"/>
    <s v="Not Required"/>
    <s v="No"/>
    <s v="Pending"/>
    <d v="2026-03-23T00:00:00"/>
    <m/>
    <x v="1"/>
    <x v="1"/>
    <x v="2"/>
    <d v="2026-06-12T00:00:00"/>
    <s v="Clearinghouse route or portal setup needs update before go-live."/>
    <n v="72"/>
    <x v="0"/>
    <s v="NPI Match"/>
    <s v="No"/>
    <s v="No"/>
    <s v="Yes"/>
    <s v="No"/>
    <x v="0"/>
    <x v="0"/>
    <x v="0"/>
  </r>
  <r>
    <s v="ENR-0110"/>
    <s v="Lakeside Women Health"/>
    <s v="Dr. Lily Mehta"/>
    <s v="IND-NPI-1110"/>
    <s v="GRP-NPI-9002"/>
    <s v="GRP-NPI-9002"/>
    <s v="GRP-NPI-9140"/>
    <s v="SYN-TIN-060"/>
    <x v="3"/>
    <s v="UHC001"/>
    <s v="Commercial"/>
    <s v="NA"/>
    <x v="1"/>
    <s v="Completed"/>
    <s v="Rejected"/>
    <s v="Rejected"/>
    <s v="Yes"/>
    <s v="Issue Found"/>
    <d v="2026-03-12T00:00:00"/>
    <m/>
    <x v="0"/>
    <x v="7"/>
    <x v="0"/>
    <d v="2026-06-13T00:00:00"/>
    <s v="Enrolled NPI does not match the payer-credentialed NPI."/>
    <n v="83"/>
    <x v="0"/>
    <s v="NPI Mismatch"/>
    <s v="Yes"/>
    <s v="No"/>
    <s v="No"/>
    <s v="No"/>
    <x v="0"/>
    <x v="1"/>
    <x v="0"/>
  </r>
  <r>
    <s v="ENR-0111"/>
    <s v="Canyon Ridge Clinic"/>
    <s v="Dr. Farah Brown"/>
    <s v="IND-NPI-1111"/>
    <s v="GRP-NPI-9027"/>
    <s v="GRP-NPI-9027"/>
    <s v="GRP-NPI-9027"/>
    <s v="SYN-TIN-013"/>
    <x v="1"/>
    <s v="MED001"/>
    <s v="Government"/>
    <s v="PTAN-0111"/>
    <x v="0"/>
    <s v="Completed"/>
    <s v="Rejected"/>
    <s v="Not Required"/>
    <s v="Yes"/>
    <s v="In Progress"/>
    <d v="2026-04-02T00:00:00"/>
    <m/>
    <x v="1"/>
    <x v="5"/>
    <x v="0"/>
    <d v="2026-06-10T00:00:00"/>
    <s v="Medicare requires additional enrollment after credentialing."/>
    <n v="62"/>
    <x v="0"/>
    <s v="NPI Match"/>
    <s v="No"/>
    <s v="No"/>
    <s v="No"/>
    <s v="Yes"/>
    <x v="0"/>
    <x v="0"/>
    <x v="0"/>
  </r>
  <r>
    <s v="ENR-0112"/>
    <s v="Oak Street Primary Care"/>
    <s v="Dr. Samir Wilson"/>
    <s v="IND-NPI-1112"/>
    <s v="GRP-NPI-9025"/>
    <s v="GRP-NPI-9025"/>
    <s v="GRP-NPI-9025"/>
    <s v="SYN-TIN-020"/>
    <x v="4"/>
    <s v="AET001"/>
    <s v="Commercial"/>
    <s v="NA"/>
    <x v="2"/>
    <s v="Completed"/>
    <s v="Not Required"/>
    <s v="Pending"/>
    <s v="Yes"/>
    <s v="In Progress"/>
    <d v="2026-06-02T00:00:00"/>
    <m/>
    <x v="1"/>
    <x v="4"/>
    <x v="1"/>
    <d v="2026-06-09T00:00:00"/>
    <s v="ERA enrollment or routing is not fully completed."/>
    <n v="1"/>
    <x v="2"/>
    <s v="NPI Match"/>
    <s v="No"/>
    <s v="No"/>
    <s v="No"/>
    <s v="No"/>
    <x v="1"/>
    <x v="1"/>
    <x v="0"/>
  </r>
  <r>
    <s v="ENR-0113"/>
    <s v="Stonebridge Family Medicine"/>
    <s v="Dr. Mina Brown"/>
    <s v="IND-NPI-1113"/>
    <s v="GRP-NPI-9007"/>
    <s v="GRP-NPI-9007"/>
    <s v="IND-NPI-1113"/>
    <s v="SYN-TIN-028"/>
    <x v="5"/>
    <s v="HUM001"/>
    <s v="Commercial"/>
    <s v="NA"/>
    <x v="1"/>
    <s v="Completed"/>
    <s v="Rejected"/>
    <s v="Rejected"/>
    <s v="Yes"/>
    <s v="Issue Found"/>
    <d v="2026-03-27T00:00:00"/>
    <m/>
    <x v="0"/>
    <x v="9"/>
    <x v="4"/>
    <d v="2026-06-03T00:00:00"/>
    <s v="Enrollment was submitted under individual NPI instead of group billing NPI."/>
    <n v="68"/>
    <x v="0"/>
    <s v="NPI Mismatch"/>
    <s v="Yes"/>
    <s v="No"/>
    <s v="No"/>
    <s v="No"/>
    <x v="0"/>
    <x v="1"/>
    <x v="0"/>
  </r>
  <r>
    <s v="ENR-0114"/>
    <s v="Blue Harbor ENT"/>
    <s v="Dr. Leah Patel"/>
    <s v="IND-NPI-1114"/>
    <s v="GRP-NPI-9024"/>
    <s v="GRP-NPI-9024"/>
    <s v="IND-NPI-1114"/>
    <s v="SYN-TIN-036"/>
    <x v="1"/>
    <s v="MED001"/>
    <s v="Government"/>
    <s v="PTAN-0114"/>
    <x v="1"/>
    <s v="Completed"/>
    <s v="Rejected"/>
    <s v="Rejected"/>
    <s v="Yes"/>
    <s v="Issue Found"/>
    <d v="2026-04-16T00:00:00"/>
    <m/>
    <x v="0"/>
    <x v="9"/>
    <x v="2"/>
    <d v="2026-06-03T00:00:00"/>
    <s v="Enrollment was submitted under individual NPI instead of group billing NPI."/>
    <n v="48"/>
    <x v="0"/>
    <s v="NPI Mismatch"/>
    <s v="Yes"/>
    <s v="No"/>
    <s v="No"/>
    <s v="No"/>
    <x v="0"/>
    <x v="1"/>
    <x v="0"/>
  </r>
  <r>
    <s v="ENR-0115"/>
    <s v="Cedar Grove Clinic"/>
    <s v="Dr. Rohan Carter"/>
    <s v="IND-NPI-1115"/>
    <s v="GRP-NPI-9030"/>
    <s v="GRP-NPI-9030"/>
    <s v="GRP-NPI-9030"/>
    <s v="SYN-TIN-032"/>
    <x v="1"/>
    <s v="MED001"/>
    <s v="Government"/>
    <s v="PTAN-0115"/>
    <x v="1"/>
    <s v="In Progress"/>
    <s v="Not Started"/>
    <s v="Not Started"/>
    <s v="No"/>
    <s v="Not Started"/>
    <d v="2026-01-20T00:00:00"/>
    <m/>
    <x v="1"/>
    <x v="8"/>
    <x v="4"/>
    <d v="2026-06-03T00:00:00"/>
    <s v="Credentialing must be completed before enrollment can proceed."/>
    <n v="134"/>
    <x v="0"/>
    <s v="NPI Match"/>
    <s v="No"/>
    <s v="No"/>
    <s v="Yes"/>
    <s v="No"/>
    <x v="0"/>
    <x v="1"/>
    <x v="0"/>
  </r>
  <r>
    <s v="ENR-0116"/>
    <s v="Hillcrest Orthopedics"/>
    <s v="Dr. Elias Chen"/>
    <s v="IND-NPI-1116"/>
    <s v="GRP-NPI-9005"/>
    <s v="GRP-NPI-9005"/>
    <s v="GRP-NPI-9005"/>
    <s v="SYN-TIN-019"/>
    <x v="5"/>
    <s v="HUM001"/>
    <s v="Commercial"/>
    <s v="NA"/>
    <x v="1"/>
    <s v="Completed"/>
    <s v="Approved"/>
    <s v="Approved"/>
    <s v="Yes"/>
    <s v="Completed"/>
    <d v="2026-03-11T00:00:00"/>
    <d v="2026-03-31T00:00:00"/>
    <x v="2"/>
    <x v="2"/>
    <x v="4"/>
    <d v="2026-06-06T00:00:00"/>
    <s v="Record is ready for expected transaction flow."/>
    <n v="20"/>
    <x v="1"/>
    <s v="NPI Match"/>
    <s v="No"/>
    <s v="No"/>
    <s v="No"/>
    <s v="No"/>
    <x v="2"/>
    <x v="2"/>
    <x v="1"/>
  </r>
  <r>
    <s v="ENR-0117"/>
    <s v="Liberty Primary Care"/>
    <s v="Dr. Aiden Menon"/>
    <s v="IND-NPI-1117"/>
    <s v="GRP-NPI-9018"/>
    <s v="GRP-NPI-9018"/>
    <s v="GRP-NPI-9018"/>
    <s v="SYN-TIN-015"/>
    <x v="5"/>
    <s v="HUM001"/>
    <s v="Commercial"/>
    <s v="NA"/>
    <x v="1"/>
    <s v="Completed"/>
    <s v="Approved"/>
    <s v="Pending"/>
    <s v="Yes"/>
    <s v="In Progress"/>
    <d v="2026-06-02T00:00:00"/>
    <m/>
    <x v="1"/>
    <x v="4"/>
    <x v="3"/>
    <d v="2026-06-07T00:00:00"/>
    <s v="ERA enrollment or routing is not fully completed."/>
    <n v="1"/>
    <x v="2"/>
    <s v="NPI Match"/>
    <s v="No"/>
    <s v="No"/>
    <s v="No"/>
    <s v="No"/>
    <x v="0"/>
    <x v="1"/>
    <x v="0"/>
  </r>
  <r>
    <s v="ENR-0118"/>
    <s v="Coral Springs Primary Care"/>
    <s v="Dr. Neha Wilson"/>
    <s v="IND-NPI-1118"/>
    <s v="GRP-NPI-9001"/>
    <s v="GRP-NPI-9001"/>
    <s v="GRP-NPI-9001"/>
    <s v="SYN-TIN-007"/>
    <x v="6"/>
    <s v="BCBS01"/>
    <s v="Commercial"/>
    <s v="NA"/>
    <x v="1"/>
    <s v="Completed"/>
    <s v="Approved"/>
    <s v="Approved"/>
    <s v="Yes"/>
    <s v="Completed"/>
    <d v="2026-04-07T00:00:00"/>
    <d v="2026-04-14T00:00:00"/>
    <x v="2"/>
    <x v="2"/>
    <x v="4"/>
    <d v="2026-06-05T00:00:00"/>
    <s v="Record is ready for expected transaction flow."/>
    <n v="7"/>
    <x v="1"/>
    <s v="NPI Match"/>
    <s v="No"/>
    <s v="No"/>
    <s v="No"/>
    <s v="No"/>
    <x v="2"/>
    <x v="2"/>
    <x v="1"/>
  </r>
  <r>
    <s v="ENR-0119"/>
    <s v="Hillcrest Orthopedics"/>
    <s v="Dr. Mina Scott"/>
    <s v="IND-NPI-1119"/>
    <s v="GRP-NPI-9008"/>
    <s v="GRP-NPI-9008"/>
    <s v="IND-NPI-1119"/>
    <s v="SYN-TIN-014"/>
    <x v="2"/>
    <s v="CIG001"/>
    <s v="Commercial"/>
    <s v="NA"/>
    <x v="0"/>
    <s v="Completed"/>
    <s v="Rejected"/>
    <s v="Not Required"/>
    <s v="Yes"/>
    <s v="Issue Found"/>
    <d v="2026-04-17T00:00:00"/>
    <m/>
    <x v="0"/>
    <x v="9"/>
    <x v="1"/>
    <d v="2026-06-11T00:00:00"/>
    <s v="Enrollment was submitted under individual NPI instead of group billing NPI."/>
    <n v="47"/>
    <x v="0"/>
    <s v="NPI Mismatch"/>
    <s v="Yes"/>
    <s v="No"/>
    <s v="No"/>
    <s v="No"/>
    <x v="0"/>
    <x v="0"/>
    <x v="0"/>
  </r>
  <r>
    <s v="ENR-0120"/>
    <s v="Blue Harbor ENT"/>
    <s v="Dr. Owen Patel"/>
    <s v="IND-NPI-1120"/>
    <s v="GRP-NPI-9040"/>
    <s v="GRP-NPI-9040"/>
    <s v="GRP-NPI-9040"/>
    <s v="SYN-TIN-004"/>
    <x v="1"/>
    <s v="MED001"/>
    <s v="Government"/>
    <s v="PTAN-0120"/>
    <x v="1"/>
    <s v="Completed"/>
    <s v="Approved"/>
    <s v="Pending"/>
    <s v="Yes"/>
    <s v="In Progress"/>
    <d v="2026-05-28T00:00:00"/>
    <m/>
    <x v="1"/>
    <x v="4"/>
    <x v="2"/>
    <d v="2026-06-07T00:00:00"/>
    <s v="ERA enrollment or routing is not fully completed."/>
    <n v="6"/>
    <x v="2"/>
    <s v="NPI Match"/>
    <s v="No"/>
    <s v="No"/>
    <s v="No"/>
    <s v="No"/>
    <x v="0"/>
    <x v="1"/>
    <x v="0"/>
  </r>
  <r>
    <s v="ENR-0121"/>
    <s v="Northside Pediatrics"/>
    <s v="Dr. Lucas Carter"/>
    <s v="IND-NPI-1121"/>
    <s v="GRP-NPI-9026"/>
    <s v="GRP-NPI-9026"/>
    <s v="IND-NPI-1121"/>
    <s v="SYN-TIN-042"/>
    <x v="4"/>
    <s v="AET001"/>
    <s v="Commercial"/>
    <s v="NA"/>
    <x v="1"/>
    <s v="Completed"/>
    <s v="Rejected"/>
    <s v="Rejected"/>
    <s v="Yes"/>
    <s v="Issue Found"/>
    <d v="2026-05-08T00:00:00"/>
    <m/>
    <x v="0"/>
    <x v="9"/>
    <x v="0"/>
    <d v="2026-06-04T00:00:00"/>
    <s v="Enrollment was submitted under individual NPI instead of group billing NPI."/>
    <n v="26"/>
    <x v="0"/>
    <s v="NPI Mismatch"/>
    <s v="Yes"/>
    <s v="No"/>
    <s v="No"/>
    <s v="No"/>
    <x v="0"/>
    <x v="1"/>
    <x v="0"/>
  </r>
  <r>
    <s v="ENR-0122"/>
    <s v="Parkside Oncology"/>
    <s v="Dr. Alan Lee"/>
    <s v="IND-NPI-1122"/>
    <s v="GRP-NPI-9009"/>
    <s v="GRP-NPI-9009"/>
    <s v="GRP-NPI-9121"/>
    <s v="SYN-TIN-038"/>
    <x v="6"/>
    <s v="BCBS01"/>
    <s v="Commercial"/>
    <s v="NA"/>
    <x v="1"/>
    <s v="Completed"/>
    <s v="Rejected"/>
    <s v="Rejected"/>
    <s v="Yes"/>
    <s v="Issue Found"/>
    <d v="2026-04-22T00:00:00"/>
    <m/>
    <x v="0"/>
    <x v="7"/>
    <x v="1"/>
    <d v="2026-06-12T00:00:00"/>
    <s v="Enrolled NPI does not match the payer-credentialed NPI."/>
    <n v="42"/>
    <x v="0"/>
    <s v="NPI Mismatch"/>
    <s v="Yes"/>
    <s v="No"/>
    <s v="No"/>
    <s v="No"/>
    <x v="0"/>
    <x v="1"/>
    <x v="0"/>
  </r>
  <r>
    <s v="ENR-0123"/>
    <s v="Blue Harbor ENT"/>
    <s v="Dr. Owen Ahmed"/>
    <s v="IND-NPI-1123"/>
    <s v="GRP-NPI-9028"/>
    <s v="GRP-NPI-9028"/>
    <s v="GRP-NPI-9028"/>
    <s v="SYN-TIN-053"/>
    <x v="1"/>
    <s v="MED001"/>
    <s v="Government"/>
    <s v="PTAN-0123"/>
    <x v="1"/>
    <s v="Completed"/>
    <s v="Approved"/>
    <s v="Approved"/>
    <s v="Yes"/>
    <s v="Completed"/>
    <d v="2026-03-11T00:00:00"/>
    <d v="2026-03-24T00:00:00"/>
    <x v="2"/>
    <x v="2"/>
    <x v="3"/>
    <d v="2026-06-10T00:00:00"/>
    <s v="Record is ready for expected transaction flow."/>
    <n v="13"/>
    <x v="1"/>
    <s v="NPI Match"/>
    <s v="No"/>
    <s v="No"/>
    <s v="No"/>
    <s v="No"/>
    <x v="2"/>
    <x v="2"/>
    <x v="1"/>
  </r>
  <r>
    <s v="ENR-0124"/>
    <s v="Pine Ridge Family Clinic"/>
    <s v="Dr. Aria Kapoor"/>
    <s v="IND-NPI-1124"/>
    <s v="GRP-NPI-9027"/>
    <s v="GRP-NPI-9027"/>
    <s v="IND-NPI-1124"/>
    <s v="SYN-TIN-061"/>
    <x v="2"/>
    <s v="CIG001"/>
    <s v="Commercial"/>
    <s v="NA"/>
    <x v="0"/>
    <s v="Completed"/>
    <s v="Rejected"/>
    <s v="Not Required"/>
    <s v="Yes"/>
    <s v="Issue Found"/>
    <d v="2026-03-21T00:00:00"/>
    <m/>
    <x v="0"/>
    <x v="9"/>
    <x v="3"/>
    <d v="2026-06-08T00:00:00"/>
    <s v="Enrollment was submitted under individual NPI instead of group billing NPI."/>
    <n v="74"/>
    <x v="0"/>
    <s v="NPI Mismatch"/>
    <s v="Yes"/>
    <s v="No"/>
    <s v="No"/>
    <s v="No"/>
    <x v="0"/>
    <x v="0"/>
    <x v="0"/>
  </r>
  <r>
    <s v="ENR-0125"/>
    <s v="Greenway Internal Medicine"/>
    <s v="Dr. Vivek Das"/>
    <s v="IND-NPI-1125"/>
    <s v="GRP-NPI-9006"/>
    <s v="GRP-NPI-9006"/>
    <s v="GRP-NPI-9006"/>
    <s v="SYN-TIN-043"/>
    <x v="1"/>
    <s v="WRONG-MED"/>
    <s v="Government"/>
    <s v="PTAN-0125"/>
    <x v="2"/>
    <s v="Completed"/>
    <s v="Not Required"/>
    <s v="Rejected"/>
    <s v="Yes"/>
    <s v="Issue Found"/>
    <d v="2026-02-17T00:00:00"/>
    <m/>
    <x v="0"/>
    <x v="0"/>
    <x v="0"/>
    <d v="2026-06-11T00:00:00"/>
    <s v="Incorrect payer ID was used for enrollment or routing."/>
    <n v="106"/>
    <x v="0"/>
    <s v="NPI Match"/>
    <s v="No"/>
    <s v="Yes"/>
    <s v="No"/>
    <s v="No"/>
    <x v="1"/>
    <x v="1"/>
    <x v="0"/>
  </r>
  <r>
    <s v="ENR-0126"/>
    <s v="Coral Springs Primary Care"/>
    <s v="Dr. Rohan Ali"/>
    <s v="IND-NPI-1126"/>
    <s v="GRP-NPI-9023"/>
    <s v="GRP-NPI-9023"/>
    <s v="GRP-NPI-9023"/>
    <s v="SYN-TIN-046"/>
    <x v="5"/>
    <s v="HUM-OLD"/>
    <s v="Commercial"/>
    <s v="NA"/>
    <x v="1"/>
    <s v="Completed"/>
    <s v="Rejected"/>
    <s v="Rejected"/>
    <s v="Yes"/>
    <s v="Issue Found"/>
    <d v="2026-03-29T00:00:00"/>
    <m/>
    <x v="0"/>
    <x v="0"/>
    <x v="4"/>
    <d v="2026-06-12T00:00:00"/>
    <s v="Incorrect payer ID was used for enrollment or routing."/>
    <n v="66"/>
    <x v="0"/>
    <s v="NPI Match"/>
    <s v="No"/>
    <s v="Yes"/>
    <s v="No"/>
    <s v="No"/>
    <x v="0"/>
    <x v="1"/>
    <x v="0"/>
  </r>
  <r>
    <s v="ENR-0127"/>
    <s v="Lakeside Women Health"/>
    <s v="Dr. Elias Scott"/>
    <s v="IND-NPI-1127"/>
    <s v="GRP-NPI-9014"/>
    <s v="GRP-NPI-9014"/>
    <s v="GRP-NPI-9014"/>
    <s v="SYN-TIN-015"/>
    <x v="0"/>
    <s v="MCD002"/>
    <s v="Government"/>
    <s v="PTAN-0127"/>
    <x v="1"/>
    <s v="Completed"/>
    <s v="Approved"/>
    <s v="Approved"/>
    <s v="Yes"/>
    <s v="Completed"/>
    <d v="2026-02-11T00:00:00"/>
    <d v="2026-02-23T00:00:00"/>
    <x v="2"/>
    <x v="2"/>
    <x v="4"/>
    <d v="2026-06-11T00:00:00"/>
    <s v="Record is ready for expected transaction flow."/>
    <n v="12"/>
    <x v="1"/>
    <s v="NPI Match"/>
    <s v="No"/>
    <s v="No"/>
    <s v="No"/>
    <s v="No"/>
    <x v="2"/>
    <x v="2"/>
    <x v="1"/>
  </r>
  <r>
    <s v="ENR-0128"/>
    <s v="Clearwater Pulmonary"/>
    <s v="Dr. Aditya Miller"/>
    <s v="IND-NPI-1128"/>
    <s v="GRP-NPI-9015"/>
    <s v="GRP-NPI-9015"/>
    <s v="GRP-NPI-9140"/>
    <s v="SYN-TIN-004"/>
    <x v="5"/>
    <s v="HUM001"/>
    <s v="Commercial"/>
    <s v="NA"/>
    <x v="2"/>
    <s v="Completed"/>
    <s v="Not Required"/>
    <s v="Rejected"/>
    <s v="Yes"/>
    <s v="Issue Found"/>
    <d v="2026-01-21T00:00:00"/>
    <m/>
    <x v="0"/>
    <x v="7"/>
    <x v="4"/>
    <d v="2026-06-12T00:00:00"/>
    <s v="Enrolled NPI does not match the payer-credentialed NPI."/>
    <n v="133"/>
    <x v="0"/>
    <s v="NPI Mismatch"/>
    <s v="Yes"/>
    <s v="No"/>
    <s v="No"/>
    <s v="No"/>
    <x v="1"/>
    <x v="1"/>
    <x v="0"/>
  </r>
  <r>
    <s v="ENR-0129"/>
    <s v="BrightCare Cardiology"/>
    <s v="Dr. Aditya Reed"/>
    <s v="IND-NPI-1129"/>
    <s v="GRP-NPI-9020"/>
    <s v="GRP-NPI-9020"/>
    <s v="GRP-NPI-9020"/>
    <s v="SYN-TIN-009"/>
    <x v="6"/>
    <s v="BCBS01"/>
    <s v="Commercial"/>
    <s v="NA"/>
    <x v="2"/>
    <s v="Completed"/>
    <s v="Not Required"/>
    <s v="Approved"/>
    <s v="Yes"/>
    <s v="Completed"/>
    <d v="2026-02-20T00:00:00"/>
    <d v="2026-03-08T00:00:00"/>
    <x v="2"/>
    <x v="2"/>
    <x v="2"/>
    <d v="2026-06-13T00:00:00"/>
    <s v="Record is ready for expected transaction flow."/>
    <n v="16"/>
    <x v="1"/>
    <s v="NPI Match"/>
    <s v="No"/>
    <s v="No"/>
    <s v="No"/>
    <s v="No"/>
    <x v="1"/>
    <x v="2"/>
    <x v="1"/>
  </r>
  <r>
    <s v="ENR-0130"/>
    <s v="Hillcrest Orthopedics"/>
    <s v="Dr. Neha Lee"/>
    <s v="IND-NPI-1130"/>
    <s v="GRP-NPI-9034"/>
    <s v="GRP-NPI-9034"/>
    <s v="IND-NPI-1130"/>
    <s v="SYN-TIN-042"/>
    <x v="0"/>
    <s v="MCD002"/>
    <s v="Government"/>
    <s v="PTAN-0130"/>
    <x v="2"/>
    <s v="Completed"/>
    <s v="Not Required"/>
    <s v="Rejected"/>
    <s v="Yes"/>
    <s v="Issue Found"/>
    <d v="2026-02-24T00:00:00"/>
    <m/>
    <x v="0"/>
    <x v="9"/>
    <x v="4"/>
    <d v="2026-06-08T00:00:00"/>
    <s v="Enrollment was submitted under individual NPI instead of group billing NPI."/>
    <n v="99"/>
    <x v="0"/>
    <s v="NPI Mismatch"/>
    <s v="Yes"/>
    <s v="No"/>
    <s v="No"/>
    <s v="No"/>
    <x v="1"/>
    <x v="1"/>
    <x v="0"/>
  </r>
  <r>
    <s v="ENR-0131"/>
    <s v="Clearwater Pulmonary"/>
    <s v="Dr. Elias Ahmed"/>
    <s v="IND-NPI-1131"/>
    <s v="GRP-NPI-9006"/>
    <s v="GRP-NPI-9006"/>
    <s v="GRP-NPI-9006"/>
    <s v="SYN-TIN-055"/>
    <x v="1"/>
    <s v="MED-OLD"/>
    <s v="Government"/>
    <s v="PTAN-0131"/>
    <x v="0"/>
    <s v="Completed"/>
    <s v="Rejected"/>
    <s v="Not Required"/>
    <s v="Yes"/>
    <s v="Issue Found"/>
    <d v="2026-02-04T00:00:00"/>
    <m/>
    <x v="0"/>
    <x v="0"/>
    <x v="2"/>
    <d v="2026-06-07T00:00:00"/>
    <s v="Incorrect payer ID was used for enrollment or routing."/>
    <n v="119"/>
    <x v="0"/>
    <s v="NPI Match"/>
    <s v="No"/>
    <s v="Yes"/>
    <s v="No"/>
    <s v="No"/>
    <x v="0"/>
    <x v="0"/>
    <x v="0"/>
  </r>
  <r>
    <s v="ENR-0132"/>
    <s v="Valley View Gastro"/>
    <s v="Dr. Aiden Morgan"/>
    <s v="IND-NPI-1132"/>
    <s v="GRP-NPI-9027"/>
    <s v="GRP-NPI-9027"/>
    <s v="IND-NPI-1132"/>
    <s v="SYN-TIN-037"/>
    <x v="6"/>
    <s v="BCBS01"/>
    <s v="Commercial"/>
    <s v="NA"/>
    <x v="0"/>
    <s v="Completed"/>
    <s v="Rejected"/>
    <s v="Not Required"/>
    <s v="Yes"/>
    <s v="Issue Found"/>
    <d v="2026-04-13T00:00:00"/>
    <m/>
    <x v="0"/>
    <x v="9"/>
    <x v="0"/>
    <d v="2026-06-09T00:00:00"/>
    <s v="Enrollment was submitted under individual NPI instead of group billing NPI."/>
    <n v="51"/>
    <x v="0"/>
    <s v="NPI Mismatch"/>
    <s v="Yes"/>
    <s v="No"/>
    <s v="No"/>
    <s v="No"/>
    <x v="0"/>
    <x v="0"/>
    <x v="0"/>
  </r>
  <r>
    <s v="ENR-0133"/>
    <s v="Coral Springs Primary Care"/>
    <s v="Dr. Zara Mehta"/>
    <s v="IND-NPI-1133"/>
    <s v="GRP-NPI-9034"/>
    <s v="GRP-NPI-9034"/>
    <s v="GRP-NPI-9034"/>
    <s v="SYN-TIN-028"/>
    <x v="2"/>
    <s v="CIG001"/>
    <s v="Commercial"/>
    <s v="NA"/>
    <x v="2"/>
    <s v="Completed"/>
    <s v="Not Required"/>
    <s v="Approved"/>
    <s v="Yes"/>
    <s v="Completed"/>
    <d v="2026-01-29T00:00:00"/>
    <d v="2026-02-05T00:00:00"/>
    <x v="2"/>
    <x v="2"/>
    <x v="4"/>
    <d v="2026-06-06T00:00:00"/>
    <s v="Record is ready for expected transaction flow."/>
    <n v="7"/>
    <x v="1"/>
    <s v="NPI Match"/>
    <s v="No"/>
    <s v="No"/>
    <s v="No"/>
    <s v="No"/>
    <x v="1"/>
    <x v="2"/>
    <x v="1"/>
  </r>
  <r>
    <s v="ENR-0134"/>
    <s v="Clearwater Pulmonary"/>
    <s v="Dr. Sara Singh"/>
    <s v="IND-NPI-1134"/>
    <s v="GRP-NPI-9017"/>
    <s v="GRP-NPI-9017"/>
    <s v="GRP-NPI-9017"/>
    <s v="SYN-TIN-030"/>
    <x v="6"/>
    <s v="BCBS01"/>
    <s v="Commercial"/>
    <s v="NA"/>
    <x v="2"/>
    <s v="Completed"/>
    <s v="Not Required"/>
    <s v="Approved"/>
    <s v="Yes"/>
    <s v="Completed"/>
    <d v="2026-05-05T00:00:00"/>
    <d v="2026-05-14T00:00:00"/>
    <x v="2"/>
    <x v="2"/>
    <x v="2"/>
    <d v="2026-06-05T00:00:00"/>
    <s v="Record is ready for expected transaction flow."/>
    <n v="9"/>
    <x v="1"/>
    <s v="NPI Match"/>
    <s v="No"/>
    <s v="No"/>
    <s v="No"/>
    <s v="No"/>
    <x v="1"/>
    <x v="2"/>
    <x v="1"/>
  </r>
  <r>
    <s v="ENR-0135"/>
    <s v="Riverside Behavioral Health"/>
    <s v="Dr. Ivy Das"/>
    <s v="IND-NPI-1135"/>
    <s v="GRP-NPI-9043"/>
    <s v="GRP-NPI-9043"/>
    <s v="GRP-NPI-9043"/>
    <s v="SYN-TIN-059"/>
    <x v="5"/>
    <s v="HUM001"/>
    <s v="Commercial"/>
    <s v="NA"/>
    <x v="2"/>
    <s v="Completed"/>
    <s v="Not Required"/>
    <s v="Pending"/>
    <s v="No"/>
    <s v="Pending"/>
    <d v="2026-01-25T00:00:00"/>
    <m/>
    <x v="1"/>
    <x v="1"/>
    <x v="0"/>
    <d v="2026-06-09T00:00:00"/>
    <s v="Clearinghouse route or portal setup needs update before go-live."/>
    <n v="129"/>
    <x v="0"/>
    <s v="NPI Match"/>
    <s v="No"/>
    <s v="No"/>
    <s v="Yes"/>
    <s v="No"/>
    <x v="1"/>
    <x v="1"/>
    <x v="0"/>
  </r>
  <r>
    <s v="ENR-0136"/>
    <s v="Canyon Ridge Clinic"/>
    <s v="Dr. Mark Carter"/>
    <s v="IND-NPI-1136"/>
    <s v="GRP-NPI-9021"/>
    <s v="GRP-NPI-9021"/>
    <s v="IND-NPI-1136"/>
    <s v="SYN-TIN-052"/>
    <x v="3"/>
    <s v="UHC001"/>
    <s v="Commercial"/>
    <s v="NA"/>
    <x v="2"/>
    <s v="Completed"/>
    <s v="Not Required"/>
    <s v="Rejected"/>
    <s v="Yes"/>
    <s v="Issue Found"/>
    <d v="2026-05-01T00:00:00"/>
    <m/>
    <x v="0"/>
    <x v="9"/>
    <x v="0"/>
    <d v="2026-06-07T00:00:00"/>
    <s v="Enrollment was submitted under individual NPI instead of group billing NPI."/>
    <n v="33"/>
    <x v="0"/>
    <s v="NPI Mismatch"/>
    <s v="Yes"/>
    <s v="No"/>
    <s v="No"/>
    <s v="No"/>
    <x v="1"/>
    <x v="1"/>
    <x v="0"/>
  </r>
  <r>
    <s v="ENR-0137"/>
    <s v="River Valley Family Care"/>
    <s v="Dr. Kevin Nair"/>
    <s v="IND-NPI-1137"/>
    <s v="GRP-NPI-9040"/>
    <s v="GRP-NPI-9040"/>
    <s v="GRP-NPI-9040"/>
    <s v="SYN-TIN-032"/>
    <x v="4"/>
    <s v="AET001"/>
    <s v="Commercial"/>
    <s v="NA"/>
    <x v="1"/>
    <s v="Completed"/>
    <s v="Pending"/>
    <s v="Pending"/>
    <s v="Yes"/>
    <s v="In Progress"/>
    <d v="2026-02-06T00:00:00"/>
    <m/>
    <x v="1"/>
    <x v="3"/>
    <x v="0"/>
    <d v="2026-06-09T00:00:00"/>
    <s v="Waiting on payer approval or payer response."/>
    <n v="117"/>
    <x v="0"/>
    <s v="NPI Match"/>
    <s v="No"/>
    <s v="No"/>
    <s v="No"/>
    <s v="No"/>
    <x v="0"/>
    <x v="1"/>
    <x v="0"/>
  </r>
  <r>
    <s v="ENR-0138"/>
    <s v="Southview Endocrinology"/>
    <s v="Dr. Zara Kapoor"/>
    <s v="IND-NPI-1138"/>
    <s v="GRP-NPI-9034"/>
    <s v="GRP-NPI-9034"/>
    <s v="GRP-NPI-9034"/>
    <s v="SYN-TIN-022"/>
    <x v="1"/>
    <s v="MED001"/>
    <s v="Government"/>
    <s v="PTAN-0138"/>
    <x v="2"/>
    <s v="Completed"/>
    <s v="Not Required"/>
    <s v="Pending"/>
    <s v="No"/>
    <s v="Pending"/>
    <d v="2026-04-11T00:00:00"/>
    <m/>
    <x v="1"/>
    <x v="1"/>
    <x v="4"/>
    <d v="2026-06-06T00:00:00"/>
    <s v="Clearinghouse route or portal setup needs update before go-live."/>
    <n v="53"/>
    <x v="0"/>
    <s v="NPI Match"/>
    <s v="No"/>
    <s v="No"/>
    <s v="Yes"/>
    <s v="No"/>
    <x v="1"/>
    <x v="1"/>
    <x v="0"/>
  </r>
  <r>
    <s v="ENR-0139"/>
    <s v="Greenway Internal Medicine"/>
    <s v="Dr. Owen Brown"/>
    <s v="IND-NPI-1139"/>
    <s v="GRP-NPI-9008"/>
    <s v="GRP-NPI-9008"/>
    <s v="GRP-NPI-9008"/>
    <s v="SYN-TIN-031"/>
    <x v="3"/>
    <s v="UHC001"/>
    <s v="Commercial"/>
    <s v="NA"/>
    <x v="1"/>
    <s v="Completed"/>
    <s v="Pending"/>
    <s v="Pending"/>
    <s v="Yes"/>
    <s v="In Progress"/>
    <d v="2026-04-14T00:00:00"/>
    <m/>
    <x v="1"/>
    <x v="3"/>
    <x v="3"/>
    <d v="2026-06-08T00:00:00"/>
    <s v="Waiting on payer approval or payer response."/>
    <n v="50"/>
    <x v="0"/>
    <s v="NPI Match"/>
    <s v="No"/>
    <s v="No"/>
    <s v="No"/>
    <s v="No"/>
    <x v="0"/>
    <x v="1"/>
    <x v="0"/>
  </r>
  <r>
    <s v="ENR-0140"/>
    <s v="Lakeside Women Health"/>
    <s v="Dr. Alan Khan"/>
    <s v="IND-NPI-1140"/>
    <s v="GRP-NPI-9013"/>
    <s v="GRP-NPI-9013"/>
    <s v="GRP-NPI-9013"/>
    <s v="SYN-TIN-060"/>
    <x v="0"/>
    <s v="MCD-OLD"/>
    <s v="Government"/>
    <s v="PTAN-0140"/>
    <x v="1"/>
    <s v="Completed"/>
    <s v="Rejected"/>
    <s v="Rejected"/>
    <s v="Yes"/>
    <s v="Issue Found"/>
    <d v="2026-03-01T00:00:00"/>
    <m/>
    <x v="0"/>
    <x v="10"/>
    <x v="2"/>
    <d v="2026-06-13T00:00:00"/>
    <s v="Outdated payer ID needs to be replaced with current payer ID."/>
    <n v="94"/>
    <x v="0"/>
    <s v="NPI Match"/>
    <s v="No"/>
    <s v="Yes"/>
    <s v="No"/>
    <s v="No"/>
    <x v="0"/>
    <x v="1"/>
    <x v="0"/>
  </r>
  <r>
    <s v="ENR-0141"/>
    <s v="Clearwater Pulmonary"/>
    <s v="Dr. Elias Singh"/>
    <s v="IND-NPI-1141"/>
    <s v="GRP-NPI-9038"/>
    <s v="GRP-NPI-9038"/>
    <s v="GRP-NPI-9038"/>
    <s v="SYN-TIN-020"/>
    <x v="4"/>
    <s v="AET001"/>
    <s v="Commercial"/>
    <s v="NA"/>
    <x v="1"/>
    <s v="Completed"/>
    <s v="Pending"/>
    <s v="Pending"/>
    <s v="Yes"/>
    <s v="In Progress"/>
    <d v="2026-04-07T00:00:00"/>
    <m/>
    <x v="1"/>
    <x v="3"/>
    <x v="4"/>
    <d v="2026-06-13T00:00:00"/>
    <s v="Waiting on payer approval or payer response."/>
    <n v="57"/>
    <x v="0"/>
    <s v="NPI Match"/>
    <s v="No"/>
    <s v="No"/>
    <s v="No"/>
    <s v="No"/>
    <x v="0"/>
    <x v="1"/>
    <x v="0"/>
  </r>
  <r>
    <s v="ENR-0142"/>
    <s v="Blue Harbor ENT"/>
    <s v="Dr. Mark Mehta"/>
    <s v="IND-NPI-1142"/>
    <s v="GRP-NPI-9029"/>
    <s v="GRP-NPI-9029"/>
    <s v="GRP-NPI-9029"/>
    <s v="SYN-TIN-010"/>
    <x v="2"/>
    <s v="CIG001"/>
    <s v="Commercial"/>
    <s v="NA"/>
    <x v="2"/>
    <s v="Completed"/>
    <s v="Not Required"/>
    <s v="Pending"/>
    <s v="No"/>
    <s v="Pending"/>
    <d v="2026-01-29T00:00:00"/>
    <m/>
    <x v="1"/>
    <x v="1"/>
    <x v="1"/>
    <d v="2026-06-08T00:00:00"/>
    <s v="Clearinghouse route or portal setup needs update before go-live."/>
    <n v="125"/>
    <x v="0"/>
    <s v="NPI Match"/>
    <s v="No"/>
    <s v="No"/>
    <s v="Yes"/>
    <s v="No"/>
    <x v="1"/>
    <x v="1"/>
    <x v="0"/>
  </r>
  <r>
    <s v="ENR-0143"/>
    <s v="Summit Eye Care"/>
    <s v="Dr. Aria Morgan"/>
    <s v="IND-NPI-1143"/>
    <s v="GRP-NPI-9003"/>
    <s v="GRP-NPI-9003"/>
    <s v="GRP-NPI-9003"/>
    <s v="SYN-TIN-065"/>
    <x v="1"/>
    <s v="MED001"/>
    <s v="Government"/>
    <s v="PTAN-0143"/>
    <x v="2"/>
    <s v="Completed"/>
    <s v="Not Required"/>
    <s v="Pending"/>
    <s v="No"/>
    <s v="Pending"/>
    <d v="2026-02-07T00:00:00"/>
    <m/>
    <x v="1"/>
    <x v="1"/>
    <x v="1"/>
    <d v="2026-06-12T00:00:00"/>
    <s v="Clearinghouse route or portal setup needs update before go-live."/>
    <n v="116"/>
    <x v="0"/>
    <s v="NPI Match"/>
    <s v="No"/>
    <s v="No"/>
    <s v="Yes"/>
    <s v="No"/>
    <x v="1"/>
    <x v="1"/>
    <x v="0"/>
  </r>
  <r>
    <s v="ENR-0144"/>
    <s v="Maple Leaf Urgent Care"/>
    <s v="Dr. Aria Miller"/>
    <s v="IND-NPI-1144"/>
    <s v="GRP-NPI-9036"/>
    <s v="GRP-NPI-9036"/>
    <s v="GRP-NPI-9036"/>
    <s v="SYN-TIN-065"/>
    <x v="5"/>
    <s v="HUM001"/>
    <s v="Commercial"/>
    <s v="NA"/>
    <x v="1"/>
    <s v="Completed"/>
    <s v="Approved"/>
    <s v="Approved"/>
    <s v="Yes"/>
    <s v="Completed"/>
    <d v="2026-03-04T00:00:00"/>
    <d v="2026-03-16T00:00:00"/>
    <x v="2"/>
    <x v="2"/>
    <x v="2"/>
    <d v="2026-06-12T00:00:00"/>
    <s v="Record is ready for expected transaction flow."/>
    <n v="12"/>
    <x v="1"/>
    <s v="NPI Match"/>
    <s v="No"/>
    <s v="No"/>
    <s v="No"/>
    <s v="No"/>
    <x v="2"/>
    <x v="2"/>
    <x v="1"/>
  </r>
  <r>
    <s v="ENR-0145"/>
    <s v="Hillcrest Orthopedics"/>
    <s v="Dr. Priya Morgan"/>
    <s v="IND-NPI-1145"/>
    <s v="GRP-NPI-9007"/>
    <s v="GRP-NPI-9007"/>
    <s v="GRP-NPI-9007"/>
    <s v="SYN-TIN-006"/>
    <x v="5"/>
    <s v="HUM001"/>
    <s v="Commercial"/>
    <s v="NA"/>
    <x v="1"/>
    <s v="Completed"/>
    <s v="Approved"/>
    <s v="Pending"/>
    <s v="No"/>
    <s v="Pending"/>
    <d v="2026-02-05T00:00:00"/>
    <m/>
    <x v="1"/>
    <x v="1"/>
    <x v="3"/>
    <d v="2026-06-11T00:00:00"/>
    <s v="Clearinghouse route or portal setup needs update before go-live."/>
    <n v="118"/>
    <x v="0"/>
    <s v="NPI Match"/>
    <s v="No"/>
    <s v="No"/>
    <s v="Yes"/>
    <s v="No"/>
    <x v="0"/>
    <x v="1"/>
    <x v="0"/>
  </r>
  <r>
    <s v="ENR-0146"/>
    <s v="Oak Street Primary Care"/>
    <s v="Dr. Leah Morgan"/>
    <s v="IND-NPI-1146"/>
    <s v="GRP-NPI-9034"/>
    <s v="GRP-NPI-9034"/>
    <s v="GRP-NPI-9034"/>
    <s v="SYN-TIN-044"/>
    <x v="3"/>
    <s v="UHC001"/>
    <s v="Commercial"/>
    <s v="NA"/>
    <x v="1"/>
    <s v="Completed"/>
    <s v="Approved"/>
    <s v="Pending"/>
    <s v="No"/>
    <s v="Pending"/>
    <d v="2026-03-28T00:00:00"/>
    <m/>
    <x v="1"/>
    <x v="1"/>
    <x v="2"/>
    <d v="2026-06-09T00:00:00"/>
    <s v="Clearinghouse route or portal setup needs update before go-live."/>
    <n v="67"/>
    <x v="0"/>
    <s v="NPI Match"/>
    <s v="No"/>
    <s v="No"/>
    <s v="Yes"/>
    <s v="No"/>
    <x v="0"/>
    <x v="1"/>
    <x v="0"/>
  </r>
  <r>
    <s v="ENR-0147"/>
    <s v="Coral Springs Primary Care"/>
    <s v="Dr. Aiden Rao"/>
    <s v="IND-NPI-1147"/>
    <s v="GRP-NPI-9041"/>
    <s v="GRP-NPI-9041"/>
    <s v="GRP-NPI-9041"/>
    <s v="SYN-TIN-020"/>
    <x v="2"/>
    <s v="CIG001"/>
    <s v="Commercial"/>
    <s v="NA"/>
    <x v="2"/>
    <s v="Completed"/>
    <s v="Not Required"/>
    <s v="Pending"/>
    <s v="No"/>
    <s v="Pending"/>
    <d v="2026-04-23T00:00:00"/>
    <m/>
    <x v="1"/>
    <x v="1"/>
    <x v="4"/>
    <d v="2026-06-07T00:00:00"/>
    <s v="Clearinghouse route or portal setup needs update before go-live."/>
    <n v="41"/>
    <x v="0"/>
    <s v="NPI Match"/>
    <s v="No"/>
    <s v="No"/>
    <s v="Yes"/>
    <s v="No"/>
    <x v="1"/>
    <x v="1"/>
    <x v="0"/>
  </r>
  <r>
    <s v="ENR-0148"/>
    <s v="Pine Ridge Family Clinic"/>
    <s v="Dr. Vivek Miller"/>
    <s v="IND-NPI-1148"/>
    <s v="GRP-NPI-9043"/>
    <s v="GRP-NPI-9043"/>
    <s v="GRP-NPI-9043"/>
    <s v="SYN-TIN-011"/>
    <x v="0"/>
    <s v="MCD002"/>
    <s v="Government"/>
    <s v="PTAN-0148"/>
    <x v="1"/>
    <s v="Completed"/>
    <s v="Approved"/>
    <s v="Pending"/>
    <s v="No"/>
    <s v="Pending"/>
    <d v="2026-04-25T00:00:00"/>
    <m/>
    <x v="1"/>
    <x v="1"/>
    <x v="1"/>
    <d v="2026-06-05T00:00:00"/>
    <s v="Clearinghouse route or portal setup needs update before go-live."/>
    <n v="39"/>
    <x v="0"/>
    <s v="NPI Match"/>
    <s v="No"/>
    <s v="No"/>
    <s v="Yes"/>
    <s v="No"/>
    <x v="0"/>
    <x v="1"/>
    <x v="0"/>
  </r>
  <r>
    <s v="ENR-0149"/>
    <s v="Summit Eye Care"/>
    <s v="Dr. Ivy Kapoor"/>
    <s v="IND-NPI-1149"/>
    <s v="GRP-NPI-9042"/>
    <s v="GRP-NPI-9042"/>
    <s v="GRP-NPI-9042"/>
    <s v="SYN-TIN-047"/>
    <x v="5"/>
    <s v="HUM001"/>
    <s v="Commercial"/>
    <s v="NA"/>
    <x v="2"/>
    <s v="Completed"/>
    <s v="Not Required"/>
    <s v="Approved"/>
    <s v="Yes"/>
    <s v="Completed"/>
    <d v="2026-05-29T00:00:00"/>
    <d v="2026-05-31T00:00:00"/>
    <x v="2"/>
    <x v="2"/>
    <x v="2"/>
    <d v="2026-06-13T00:00:00"/>
    <s v="Record is ready for expected transaction flow."/>
    <n v="2"/>
    <x v="1"/>
    <s v="NPI Match"/>
    <s v="No"/>
    <s v="No"/>
    <s v="No"/>
    <s v="No"/>
    <x v="1"/>
    <x v="2"/>
    <x v="1"/>
  </r>
  <r>
    <s v="ENR-0150"/>
    <s v="River Valley Family Care"/>
    <s v="Dr. Elena Brooks"/>
    <s v="IND-NPI-1150"/>
    <s v="GRP-NPI-9012"/>
    <s v="GRP-NPI-9012"/>
    <s v="GRP-NPI-9012"/>
    <s v="SYN-TIN-010"/>
    <x v="0"/>
    <s v="MCD-OLD"/>
    <s v="Government"/>
    <s v="PTAN-0150"/>
    <x v="2"/>
    <s v="Completed"/>
    <s v="Not Required"/>
    <s v="Rejected"/>
    <s v="Yes"/>
    <s v="Issue Found"/>
    <d v="2026-03-13T00:00:00"/>
    <m/>
    <x v="0"/>
    <x v="10"/>
    <x v="3"/>
    <d v="2026-06-05T00:00:00"/>
    <s v="Outdated payer ID needs to be replaced with current payer ID."/>
    <n v="82"/>
    <x v="0"/>
    <s v="NPI Match"/>
    <s v="No"/>
    <s v="Yes"/>
    <s v="No"/>
    <s v="No"/>
    <x v="1"/>
    <x v="1"/>
    <x v="0"/>
  </r>
  <r>
    <s v="ENR-0151"/>
    <s v="Summit Eye Care"/>
    <s v="Dr. Emily Scott"/>
    <s v="IND-NPI-1151"/>
    <s v="GRP-NPI-9035"/>
    <s v="GRP-NPI-9035"/>
    <s v="GRP-NPI-9143"/>
    <s v="SYN-TIN-049"/>
    <x v="5"/>
    <s v="HUM001"/>
    <s v="Commercial"/>
    <s v="NA"/>
    <x v="1"/>
    <s v="Completed"/>
    <s v="Rejected"/>
    <s v="Rejected"/>
    <s v="Yes"/>
    <s v="Issue Found"/>
    <d v="2026-04-11T00:00:00"/>
    <m/>
    <x v="0"/>
    <x v="7"/>
    <x v="3"/>
    <d v="2026-06-12T00:00:00"/>
    <s v="Enrolled NPI does not match the payer-credentialed NPI."/>
    <n v="53"/>
    <x v="0"/>
    <s v="NPI Mismatch"/>
    <s v="Yes"/>
    <s v="No"/>
    <s v="No"/>
    <s v="No"/>
    <x v="0"/>
    <x v="1"/>
    <x v="0"/>
  </r>
  <r>
    <s v="ENR-0152"/>
    <s v="Hillcrest Orthopedics"/>
    <s v="Dr. Kavya Nair"/>
    <s v="IND-NPI-1152"/>
    <s v="GRP-NPI-9045"/>
    <s v="GRP-NPI-9045"/>
    <s v="GRP-NPI-9045"/>
    <s v="SYN-TIN-047"/>
    <x v="5"/>
    <s v="HUM001"/>
    <s v="Commercial"/>
    <s v="NA"/>
    <x v="1"/>
    <s v="Completed"/>
    <s v="Pending"/>
    <s v="Pending"/>
    <s v="Yes"/>
    <s v="In Progress"/>
    <d v="2026-05-07T00:00:00"/>
    <m/>
    <x v="1"/>
    <x v="3"/>
    <x v="2"/>
    <d v="2026-06-03T00:00:00"/>
    <s v="Waiting on payer approval or payer response."/>
    <n v="27"/>
    <x v="0"/>
    <s v="NPI Match"/>
    <s v="No"/>
    <s v="No"/>
    <s v="No"/>
    <s v="No"/>
    <x v="0"/>
    <x v="1"/>
    <x v="0"/>
  </r>
  <r>
    <s v="ENR-0153"/>
    <s v="Coral Springs Primary Care"/>
    <s v="Dr. Sanjay Morgan"/>
    <s v="IND-NPI-1153"/>
    <s v="GRP-NPI-9040"/>
    <s v="GRP-NPI-9040"/>
    <s v="GRP-NPI-9040"/>
    <s v="SYN-TIN-061"/>
    <x v="6"/>
    <s v="OLD-BCBS"/>
    <s v="Commercial"/>
    <s v="NA"/>
    <x v="1"/>
    <s v="Completed"/>
    <s v="Rejected"/>
    <s v="Rejected"/>
    <s v="Yes"/>
    <s v="Issue Found"/>
    <d v="2026-05-31T00:00:00"/>
    <m/>
    <x v="0"/>
    <x v="0"/>
    <x v="4"/>
    <d v="2026-06-06T00:00:00"/>
    <s v="Incorrect payer ID was used for enrollment or routing."/>
    <n v="3"/>
    <x v="2"/>
    <s v="NPI Match"/>
    <s v="No"/>
    <s v="Yes"/>
    <s v="No"/>
    <s v="No"/>
    <x v="0"/>
    <x v="1"/>
    <x v="0"/>
  </r>
  <r>
    <s v="ENR-0154"/>
    <s v="Stonebridge Family Medicine"/>
    <s v="Dr. Isha Gray"/>
    <s v="IND-NPI-1154"/>
    <s v="GRP-NPI-9044"/>
    <s v="GRP-NPI-9044"/>
    <s v="IND-NPI-1154"/>
    <s v="SYN-TIN-054"/>
    <x v="3"/>
    <s v="UHC001"/>
    <s v="Commercial"/>
    <s v="NA"/>
    <x v="1"/>
    <s v="Completed"/>
    <s v="Rejected"/>
    <s v="Rejected"/>
    <s v="Yes"/>
    <s v="Issue Found"/>
    <d v="2026-03-28T00:00:00"/>
    <m/>
    <x v="0"/>
    <x v="9"/>
    <x v="1"/>
    <d v="2026-06-09T00:00:00"/>
    <s v="Enrollment was submitted under individual NPI instead of group billing NPI."/>
    <n v="67"/>
    <x v="0"/>
    <s v="NPI Mismatch"/>
    <s v="Yes"/>
    <s v="No"/>
    <s v="No"/>
    <s v="No"/>
    <x v="0"/>
    <x v="1"/>
    <x v="0"/>
  </r>
  <r>
    <s v="ENR-0155"/>
    <s v="BrightCare Cardiology"/>
    <s v="Dr. Isha Rivera"/>
    <s v="IND-NPI-1155"/>
    <s v="GRP-NPI-9039"/>
    <s v="GRP-NPI-9039"/>
    <s v="GRP-NPI-9039"/>
    <s v="SYN-TIN-016"/>
    <x v="0"/>
    <s v="MCD002"/>
    <s v="Government"/>
    <s v="PTAN-0155"/>
    <x v="1"/>
    <s v="Completed"/>
    <s v="Approved"/>
    <s v="Approved"/>
    <s v="Yes"/>
    <s v="Completed"/>
    <d v="2026-05-18T00:00:00"/>
    <d v="2026-06-01T00:00:00"/>
    <x v="2"/>
    <x v="2"/>
    <x v="0"/>
    <d v="2026-06-11T00:00:00"/>
    <s v="Record is ready for expected transaction flow."/>
    <n v="14"/>
    <x v="1"/>
    <s v="NPI Match"/>
    <s v="No"/>
    <s v="No"/>
    <s v="No"/>
    <s v="No"/>
    <x v="2"/>
    <x v="2"/>
    <x v="1"/>
  </r>
  <r>
    <s v="ENR-0156"/>
    <s v="Summit Eye Care"/>
    <s v="Dr. Vivek Singh"/>
    <s v="IND-NPI-1156"/>
    <s v="GRP-NPI-9011"/>
    <s v="GRP-NPI-9011"/>
    <s v="IND-NPI-1156"/>
    <s v="SYN-TIN-058"/>
    <x v="6"/>
    <s v="BCBS01"/>
    <s v="Commercial"/>
    <s v="NA"/>
    <x v="2"/>
    <s v="Completed"/>
    <s v="Not Required"/>
    <s v="Rejected"/>
    <s v="Yes"/>
    <s v="Issue Found"/>
    <d v="2026-05-06T00:00:00"/>
    <m/>
    <x v="0"/>
    <x v="9"/>
    <x v="3"/>
    <d v="2026-06-04T00:00:00"/>
    <s v="Enrollment was submitted under individual NPI instead of group billing NPI."/>
    <n v="28"/>
    <x v="0"/>
    <s v="NPI Mismatch"/>
    <s v="Yes"/>
    <s v="No"/>
    <s v="No"/>
    <s v="No"/>
    <x v="1"/>
    <x v="1"/>
    <x v="0"/>
  </r>
  <r>
    <s v="ENR-0157"/>
    <s v="Stonebridge Family Medicine"/>
    <s v="Dr. Nathan Bennett"/>
    <s v="IND-NPI-1157"/>
    <s v="GRP-NPI-9002"/>
    <s v="GRP-NPI-9002"/>
    <s v="IND-NPI-1157"/>
    <s v="SYN-TIN-048"/>
    <x v="4"/>
    <s v="AET001"/>
    <s v="Commercial"/>
    <s v="NA"/>
    <x v="0"/>
    <s v="Completed"/>
    <s v="Rejected"/>
    <s v="Not Required"/>
    <s v="Yes"/>
    <s v="Issue Found"/>
    <d v="2026-03-16T00:00:00"/>
    <m/>
    <x v="0"/>
    <x v="9"/>
    <x v="0"/>
    <d v="2026-06-09T00:00:00"/>
    <s v="Enrollment was submitted under individual NPI instead of group billing NPI."/>
    <n v="79"/>
    <x v="0"/>
    <s v="NPI Mismatch"/>
    <s v="Yes"/>
    <s v="No"/>
    <s v="No"/>
    <s v="No"/>
    <x v="0"/>
    <x v="0"/>
    <x v="0"/>
  </r>
  <r>
    <s v="ENR-0158"/>
    <s v="Oak Street Primary Care"/>
    <s v="Dr. Neha Iyer"/>
    <s v="IND-NPI-1158"/>
    <s v="GRP-NPI-9007"/>
    <s v="GRP-NPI-9007"/>
    <s v="GRP-NPI-9007"/>
    <s v="SYN-TIN-037"/>
    <x v="5"/>
    <s v="HUM001"/>
    <s v="Commercial"/>
    <s v="NA"/>
    <x v="1"/>
    <s v="Completed"/>
    <s v="Approved"/>
    <s v="Pending"/>
    <s v="No"/>
    <s v="Pending"/>
    <d v="2026-02-21T00:00:00"/>
    <m/>
    <x v="1"/>
    <x v="1"/>
    <x v="0"/>
    <d v="2026-06-05T00:00:00"/>
    <s v="Clearinghouse route or portal setup needs update before go-live."/>
    <n v="102"/>
    <x v="0"/>
    <s v="NPI Match"/>
    <s v="No"/>
    <s v="No"/>
    <s v="Yes"/>
    <s v="No"/>
    <x v="0"/>
    <x v="1"/>
    <x v="0"/>
  </r>
  <r>
    <s v="ENR-0159"/>
    <s v="Canyon Ridge Clinic"/>
    <s v="Dr. Lucas Reed"/>
    <s v="IND-NPI-1159"/>
    <s v="GRP-NPI-9009"/>
    <s v="GRP-NPI-9009"/>
    <s v="IND-NPI-1159"/>
    <s v="SYN-TIN-033"/>
    <x v="5"/>
    <s v="HUM001"/>
    <s v="Commercial"/>
    <s v="NA"/>
    <x v="1"/>
    <s v="Completed"/>
    <s v="Rejected"/>
    <s v="Rejected"/>
    <s v="Yes"/>
    <s v="Issue Found"/>
    <d v="2026-01-16T00:00:00"/>
    <m/>
    <x v="0"/>
    <x v="9"/>
    <x v="0"/>
    <d v="2026-06-04T00:00:00"/>
    <s v="Enrollment was submitted under individual NPI instead of group billing NPI."/>
    <n v="138"/>
    <x v="0"/>
    <s v="NPI Mismatch"/>
    <s v="Yes"/>
    <s v="No"/>
    <s v="No"/>
    <s v="No"/>
    <x v="0"/>
    <x v="1"/>
    <x v="0"/>
  </r>
  <r>
    <s v="ENR-0160"/>
    <s v="Cedar Grove Clinic"/>
    <s v="Dr. Alan Rao"/>
    <s v="IND-NPI-1160"/>
    <s v="GRP-NPI-9039"/>
    <s v="GRP-NPI-9039"/>
    <s v="GRP-NPI-9039"/>
    <s v="SYN-TIN-031"/>
    <x v="3"/>
    <s v="UHC-OLD"/>
    <s v="Commercial"/>
    <s v="NA"/>
    <x v="2"/>
    <s v="Completed"/>
    <s v="Not Required"/>
    <s v="Rejected"/>
    <s v="Yes"/>
    <s v="Issue Found"/>
    <d v="2026-04-02T00:00:00"/>
    <m/>
    <x v="0"/>
    <x v="0"/>
    <x v="0"/>
    <d v="2026-06-04T00:00:00"/>
    <s v="Incorrect payer ID was used for enrollment or routing."/>
    <n v="62"/>
    <x v="0"/>
    <s v="NPI Match"/>
    <s v="No"/>
    <s v="Yes"/>
    <s v="No"/>
    <s v="No"/>
    <x v="1"/>
    <x v="1"/>
    <x v="0"/>
  </r>
  <r>
    <s v="ENR-0161"/>
    <s v="Southview Endocrinology"/>
    <s v="Dr. Mira Morgan"/>
    <s v="IND-NPI-1161"/>
    <s v="GRP-NPI-9005"/>
    <s v="GRP-NPI-9005"/>
    <s v="GRP-NPI-9135"/>
    <s v="SYN-TIN-031"/>
    <x v="1"/>
    <s v="MED001"/>
    <s v="Government"/>
    <s v="PTAN-0161"/>
    <x v="1"/>
    <s v="Completed"/>
    <s v="Rejected"/>
    <s v="Rejected"/>
    <s v="Yes"/>
    <s v="Issue Found"/>
    <d v="2026-01-19T00:00:00"/>
    <m/>
    <x v="0"/>
    <x v="7"/>
    <x v="1"/>
    <d v="2026-06-13T00:00:00"/>
    <s v="Enrolled NPI does not match the payer-credentialed NPI."/>
    <n v="135"/>
    <x v="0"/>
    <s v="NPI Mismatch"/>
    <s v="Yes"/>
    <s v="No"/>
    <s v="No"/>
    <s v="No"/>
    <x v="0"/>
    <x v="1"/>
    <x v="0"/>
  </r>
  <r>
    <s v="ENR-0162"/>
    <s v="Grand Oak Surgery Center"/>
    <s v="Dr. Alan Brooks"/>
    <s v="IND-NPI-1162"/>
    <s v="GRP-NPI-9028"/>
    <s v="GRP-NPI-9028"/>
    <s v="GRP-NPI-9028"/>
    <s v="SYN-TIN-047"/>
    <x v="1"/>
    <s v="MED001"/>
    <s v="Government"/>
    <s v="PTAN-0162"/>
    <x v="1"/>
    <s v="Completed"/>
    <s v="Approved"/>
    <s v="Approved"/>
    <s v="Yes"/>
    <s v="Completed"/>
    <d v="2026-05-01T00:00:00"/>
    <d v="2026-05-10T00:00:00"/>
    <x v="2"/>
    <x v="2"/>
    <x v="0"/>
    <d v="2026-06-13T00:00:00"/>
    <s v="Record is ready for expected transaction flow."/>
    <n v="9"/>
    <x v="1"/>
    <s v="NPI Match"/>
    <s v="No"/>
    <s v="No"/>
    <s v="No"/>
    <s v="No"/>
    <x v="2"/>
    <x v="2"/>
    <x v="1"/>
  </r>
  <r>
    <s v="ENR-0163"/>
    <s v="Greenway Internal Medicine"/>
    <s v="Dr. Nora Rao"/>
    <s v="IND-NPI-1163"/>
    <s v="GRP-NPI-9033"/>
    <s v="GRP-NPI-9033"/>
    <s v="GRP-NPI-9125"/>
    <s v="SYN-TIN-048"/>
    <x v="5"/>
    <s v="HUM001"/>
    <s v="Commercial"/>
    <s v="NA"/>
    <x v="1"/>
    <s v="Completed"/>
    <s v="Rejected"/>
    <s v="Rejected"/>
    <s v="Yes"/>
    <s v="Issue Found"/>
    <d v="2026-05-15T00:00:00"/>
    <m/>
    <x v="0"/>
    <x v="7"/>
    <x v="2"/>
    <d v="2026-06-03T00:00:00"/>
    <s v="Enrolled NPI does not match the payer-credentialed NPI."/>
    <n v="19"/>
    <x v="2"/>
    <s v="NPI Mismatch"/>
    <s v="Yes"/>
    <s v="No"/>
    <s v="No"/>
    <s v="No"/>
    <x v="0"/>
    <x v="1"/>
    <x v="0"/>
  </r>
  <r>
    <s v="ENR-0164"/>
    <s v="Westbrook Dermatology"/>
    <s v="Dr. Neha Gray"/>
    <s v="IND-NPI-1164"/>
    <s v="GRP-NPI-9005"/>
    <s v="GRP-NPI-9005"/>
    <s v="GRP-NPI-9005"/>
    <s v="SYN-TIN-018"/>
    <x v="6"/>
    <s v="BCBS01"/>
    <s v="Commercial"/>
    <s v="NA"/>
    <x v="0"/>
    <s v="In Progress"/>
    <s v="Not Started"/>
    <s v="Not Required"/>
    <s v="No"/>
    <s v="Not Started"/>
    <d v="2026-02-10T00:00:00"/>
    <m/>
    <x v="1"/>
    <x v="8"/>
    <x v="4"/>
    <d v="2026-06-12T00:00:00"/>
    <s v="Credentialing must be completed before enrollment can proceed."/>
    <n v="113"/>
    <x v="0"/>
    <s v="NPI Match"/>
    <s v="No"/>
    <s v="No"/>
    <s v="Yes"/>
    <s v="No"/>
    <x v="0"/>
    <x v="0"/>
    <x v="0"/>
  </r>
  <r>
    <s v="ENR-0165"/>
    <s v="Northside Pediatrics"/>
    <s v="Dr. Nathan Rao"/>
    <s v="IND-NPI-1165"/>
    <s v="GRP-NPI-9022"/>
    <s v="GRP-NPI-9022"/>
    <s v="GRP-NPI-9022"/>
    <s v="SYN-TIN-018"/>
    <x v="5"/>
    <s v="WRONG-HUM"/>
    <s v="Commercial"/>
    <s v="NA"/>
    <x v="1"/>
    <s v="Completed"/>
    <s v="Rejected"/>
    <s v="Rejected"/>
    <s v="Yes"/>
    <s v="Issue Found"/>
    <d v="2026-05-17T00:00:00"/>
    <m/>
    <x v="0"/>
    <x v="10"/>
    <x v="3"/>
    <d v="2026-06-13T00:00:00"/>
    <s v="Outdated payer ID needs to be replaced with current payer ID."/>
    <n v="17"/>
    <x v="2"/>
    <s v="NPI Match"/>
    <s v="No"/>
    <s v="Yes"/>
    <s v="No"/>
    <s v="No"/>
    <x v="0"/>
    <x v="1"/>
    <x v="0"/>
  </r>
  <r>
    <s v="ENR-0166"/>
    <s v="Greenway Internal Medicine"/>
    <s v="Dr. Aria Rao"/>
    <s v="IND-NPI-1166"/>
    <s v="GRP-NPI-9019"/>
    <s v="GRP-NPI-9019"/>
    <s v="GRP-NPI-9019"/>
    <s v="SYN-TIN-051"/>
    <x v="0"/>
    <s v="MCD002"/>
    <s v="Government"/>
    <s v="PTAN-0166"/>
    <x v="0"/>
    <s v="Completed"/>
    <s v="Approved"/>
    <s v="Not Required"/>
    <s v="Yes"/>
    <s v="Completed"/>
    <d v="2026-01-25T00:00:00"/>
    <d v="2026-02-06T00:00:00"/>
    <x v="2"/>
    <x v="2"/>
    <x v="1"/>
    <d v="2026-06-07T00:00:00"/>
    <s v="Record is ready for expected transaction flow."/>
    <n v="12"/>
    <x v="1"/>
    <s v="NPI Match"/>
    <s v="No"/>
    <s v="No"/>
    <s v="No"/>
    <s v="No"/>
    <x v="2"/>
    <x v="0"/>
    <x v="1"/>
  </r>
  <r>
    <s v="ENR-0167"/>
    <s v="Evergreen Urology"/>
    <s v="Dr. Samir Mehta"/>
    <s v="IND-NPI-1167"/>
    <s v="GRP-NPI-9017"/>
    <s v="GRP-NPI-9017"/>
    <s v="GRP-NPI-9017"/>
    <s v="SYN-TIN-035"/>
    <x v="1"/>
    <s v="MED001"/>
    <s v="Government"/>
    <s v="PTAN-0167"/>
    <x v="1"/>
    <s v="Completed"/>
    <s v="Approved"/>
    <s v="Approved"/>
    <s v="Yes"/>
    <s v="Completed"/>
    <d v="2026-04-16T00:00:00"/>
    <d v="2026-05-06T00:00:00"/>
    <x v="2"/>
    <x v="2"/>
    <x v="4"/>
    <d v="2026-06-03T00:00:00"/>
    <s v="Record is ready for expected transaction flow."/>
    <n v="20"/>
    <x v="1"/>
    <s v="NPI Match"/>
    <s v="No"/>
    <s v="No"/>
    <s v="No"/>
    <s v="No"/>
    <x v="2"/>
    <x v="2"/>
    <x v="1"/>
  </r>
  <r>
    <s v="ENR-0168"/>
    <s v="Lakeside Women Health"/>
    <s v="Dr. Elena Ali"/>
    <s v="IND-NPI-1168"/>
    <s v="GRP-NPI-9026"/>
    <s v="GRP-NPI-9026"/>
    <s v="GRP-NPI-9026"/>
    <s v="SYN-TIN-064"/>
    <x v="2"/>
    <s v="CIG001"/>
    <s v="Commercial"/>
    <s v="NA"/>
    <x v="2"/>
    <s v="Completed"/>
    <s v="Not Required"/>
    <s v="Pending"/>
    <s v="Yes"/>
    <s v="In Progress"/>
    <d v="2026-04-11T00:00:00"/>
    <m/>
    <x v="1"/>
    <x v="4"/>
    <x v="2"/>
    <d v="2026-06-05T00:00:00"/>
    <s v="ERA enrollment or routing is not fully completed."/>
    <n v="53"/>
    <x v="0"/>
    <s v="NPI Match"/>
    <s v="No"/>
    <s v="No"/>
    <s v="No"/>
    <s v="No"/>
    <x v="1"/>
    <x v="1"/>
    <x v="0"/>
  </r>
  <r>
    <s v="ENR-0169"/>
    <s v="Silverline Neurology"/>
    <s v="Dr. Nora Khan"/>
    <s v="IND-NPI-1169"/>
    <s v="GRP-NPI-9006"/>
    <s v="GRP-NPI-9006"/>
    <s v="IND-NPI-1169"/>
    <s v="SYN-TIN-042"/>
    <x v="2"/>
    <s v="CIG001"/>
    <s v="Commercial"/>
    <s v="NA"/>
    <x v="2"/>
    <s v="Completed"/>
    <s v="Not Required"/>
    <s v="Rejected"/>
    <s v="Yes"/>
    <s v="Issue Found"/>
    <d v="2026-03-02T00:00:00"/>
    <m/>
    <x v="0"/>
    <x v="9"/>
    <x v="4"/>
    <d v="2026-06-11T00:00:00"/>
    <s v="Enrollment was submitted under individual NPI instead of group billing NPI."/>
    <n v="93"/>
    <x v="0"/>
    <s v="NPI Mismatch"/>
    <s v="Yes"/>
    <s v="No"/>
    <s v="No"/>
    <s v="No"/>
    <x v="1"/>
    <x v="1"/>
    <x v="0"/>
  </r>
  <r>
    <s v="ENR-0170"/>
    <s v="Lakeside Women Health"/>
    <s v="Dr. Vivek Iyer"/>
    <s v="IND-NPI-1170"/>
    <s v="GRP-NPI-9043"/>
    <s v="GRP-NPI-9043"/>
    <s v="GRP-NPI-9128"/>
    <s v="SYN-TIN-045"/>
    <x v="6"/>
    <s v="BCBS01"/>
    <s v="Commercial"/>
    <s v="NA"/>
    <x v="2"/>
    <s v="Completed"/>
    <s v="Not Required"/>
    <s v="Rejected"/>
    <s v="Yes"/>
    <s v="Issue Found"/>
    <d v="2026-02-26T00:00:00"/>
    <m/>
    <x v="0"/>
    <x v="7"/>
    <x v="2"/>
    <d v="2026-06-14T00:00:00"/>
    <s v="Enrolled NPI does not match the payer-credentialed NPI."/>
    <n v="97"/>
    <x v="0"/>
    <s v="NPI Mismatch"/>
    <s v="Yes"/>
    <s v="No"/>
    <s v="No"/>
    <s v="No"/>
    <x v="1"/>
    <x v="1"/>
    <x v="0"/>
  </r>
  <r>
    <s v="ENR-0171"/>
    <s v="Blue Harbor ENT"/>
    <s v="Dr. Daniel Torres"/>
    <s v="IND-NPI-1171"/>
    <s v="GRP-NPI-9023"/>
    <s v="GRP-NPI-9023"/>
    <s v="GRP-NPI-9023"/>
    <s v="SYN-TIN-047"/>
    <x v="3"/>
    <s v="UHC001"/>
    <s v="Commercial"/>
    <s v="NA"/>
    <x v="1"/>
    <s v="Completed"/>
    <s v="Approved"/>
    <s v="Pending"/>
    <s v="No"/>
    <s v="Pending"/>
    <d v="2026-01-29T00:00:00"/>
    <m/>
    <x v="1"/>
    <x v="1"/>
    <x v="2"/>
    <d v="2026-06-04T00:00:00"/>
    <s v="Clearinghouse route or portal setup needs update before go-live."/>
    <n v="125"/>
    <x v="0"/>
    <s v="NPI Match"/>
    <s v="No"/>
    <s v="No"/>
    <s v="Yes"/>
    <s v="No"/>
    <x v="0"/>
    <x v="1"/>
    <x v="0"/>
  </r>
  <r>
    <s v="ENR-0172"/>
    <s v="Riverside Behavioral Health"/>
    <s v="Dr. Kavya Menon"/>
    <s v="IND-NPI-1172"/>
    <s v="GRP-NPI-9010"/>
    <s v="GRP-NPI-9010"/>
    <s v="GRP-NPI-9010"/>
    <s v="SYN-TIN-047"/>
    <x v="5"/>
    <s v="HUM-OLD"/>
    <s v="Commercial"/>
    <s v="NA"/>
    <x v="1"/>
    <s v="Completed"/>
    <s v="Rejected"/>
    <s v="Rejected"/>
    <s v="Yes"/>
    <s v="Issue Found"/>
    <d v="2026-02-16T00:00:00"/>
    <m/>
    <x v="0"/>
    <x v="0"/>
    <x v="3"/>
    <d v="2026-06-04T00:00:00"/>
    <s v="Incorrect payer ID was used for enrollment or routing."/>
    <n v="107"/>
    <x v="0"/>
    <s v="NPI Match"/>
    <s v="No"/>
    <s v="Yes"/>
    <s v="No"/>
    <s v="No"/>
    <x v="0"/>
    <x v="1"/>
    <x v="0"/>
  </r>
  <r>
    <s v="ENR-0173"/>
    <s v="Silverline Neurology"/>
    <s v="Dr. Amara Miller"/>
    <s v="IND-NPI-1173"/>
    <s v="GRP-NPI-9003"/>
    <s v="GRP-NPI-9003"/>
    <s v="IND-NPI-1173"/>
    <s v="SYN-TIN-010"/>
    <x v="3"/>
    <s v="UHC001"/>
    <s v="Commercial"/>
    <s v="NA"/>
    <x v="0"/>
    <s v="Completed"/>
    <s v="Rejected"/>
    <s v="Not Required"/>
    <s v="Yes"/>
    <s v="Issue Found"/>
    <d v="2026-04-19T00:00:00"/>
    <m/>
    <x v="0"/>
    <x v="9"/>
    <x v="2"/>
    <d v="2026-06-08T00:00:00"/>
    <s v="Enrollment was submitted under individual NPI instead of group billing NPI."/>
    <n v="45"/>
    <x v="0"/>
    <s v="NPI Mismatch"/>
    <s v="Yes"/>
    <s v="No"/>
    <s v="No"/>
    <s v="No"/>
    <x v="0"/>
    <x v="0"/>
    <x v="0"/>
  </r>
  <r>
    <s v="ENR-0174"/>
    <s v="Metro Spine Center"/>
    <s v="Dr. Sara Scott"/>
    <s v="IND-NPI-1174"/>
    <s v="GRP-NPI-9024"/>
    <s v="GRP-NPI-9024"/>
    <s v="GRP-NPI-9024"/>
    <s v="SYN-TIN-064"/>
    <x v="4"/>
    <s v="AET001"/>
    <s v="Commercial"/>
    <s v="NA"/>
    <x v="2"/>
    <s v="Completed"/>
    <s v="Not Required"/>
    <s v="Pending"/>
    <s v="No"/>
    <s v="Pending"/>
    <d v="2026-02-13T00:00:00"/>
    <m/>
    <x v="1"/>
    <x v="1"/>
    <x v="3"/>
    <d v="2026-06-03T00:00:00"/>
    <s v="Clearinghouse route or portal setup needs update before go-live."/>
    <n v="110"/>
    <x v="0"/>
    <s v="NPI Match"/>
    <s v="No"/>
    <s v="No"/>
    <s v="Yes"/>
    <s v="No"/>
    <x v="1"/>
    <x v="1"/>
    <x v="0"/>
  </r>
  <r>
    <s v="ENR-0175"/>
    <s v="Riverside Behavioral Health"/>
    <s v="Dr. Amara Bennett"/>
    <s v="IND-NPI-1175"/>
    <s v="GRP-NPI-9036"/>
    <s v="GRP-NPI-9036"/>
    <s v="GRP-NPI-9036"/>
    <s v="SYN-TIN-037"/>
    <x v="1"/>
    <s v="MED001"/>
    <s v="Government"/>
    <s v="PTAN-0175"/>
    <x v="2"/>
    <s v="Completed"/>
    <s v="Not Required"/>
    <s v="Pending"/>
    <s v="No"/>
    <s v="Pending"/>
    <d v="2026-05-09T00:00:00"/>
    <m/>
    <x v="1"/>
    <x v="1"/>
    <x v="1"/>
    <d v="2026-06-06T00:00:00"/>
    <s v="Clearinghouse route or portal setup needs update before go-live."/>
    <n v="25"/>
    <x v="0"/>
    <s v="NPI Match"/>
    <s v="No"/>
    <s v="No"/>
    <s v="Yes"/>
    <s v="No"/>
    <x v="1"/>
    <x v="1"/>
    <x v="0"/>
  </r>
  <r>
    <s v="ENR-0176"/>
    <s v="Grand Oak Surgery Center"/>
    <s v="Dr. Maya Chen"/>
    <s v="IND-NPI-1176"/>
    <s v="GRP-NPI-9008"/>
    <s v="GRP-NPI-9008"/>
    <s v="IND-NPI-1176"/>
    <s v="SYN-TIN-045"/>
    <x v="0"/>
    <s v="MCD002"/>
    <s v="Government"/>
    <s v="PTAN-0176"/>
    <x v="1"/>
    <s v="Completed"/>
    <s v="Rejected"/>
    <s v="Rejected"/>
    <s v="Yes"/>
    <s v="Issue Found"/>
    <d v="2026-05-08T00:00:00"/>
    <m/>
    <x v="0"/>
    <x v="9"/>
    <x v="4"/>
    <d v="2026-06-04T00:00:00"/>
    <s v="Enrollment was submitted under individual NPI instead of group billing NPI."/>
    <n v="26"/>
    <x v="0"/>
    <s v="NPI Mismatch"/>
    <s v="Yes"/>
    <s v="No"/>
    <s v="No"/>
    <s v="No"/>
    <x v="0"/>
    <x v="1"/>
    <x v="0"/>
  </r>
  <r>
    <s v="ENR-0177"/>
    <s v="Grand Oak Surgery Center"/>
    <s v="Dr. Mark Rao"/>
    <s v="IND-NPI-1177"/>
    <s v="GRP-NPI-9035"/>
    <s v="GRP-NPI-9035"/>
    <s v="GRP-NPI-9035"/>
    <s v="SYN-TIN-016"/>
    <x v="6"/>
    <s v="OLD-BCBS"/>
    <s v="Commercial"/>
    <s v="NA"/>
    <x v="1"/>
    <s v="Completed"/>
    <s v="Rejected"/>
    <s v="Rejected"/>
    <s v="Yes"/>
    <s v="Issue Found"/>
    <d v="2026-04-17T00:00:00"/>
    <m/>
    <x v="0"/>
    <x v="10"/>
    <x v="3"/>
    <d v="2026-06-11T00:00:00"/>
    <s v="Outdated payer ID needs to be replaced with current payer ID."/>
    <n v="47"/>
    <x v="0"/>
    <s v="NPI Match"/>
    <s v="No"/>
    <s v="Yes"/>
    <s v="No"/>
    <s v="No"/>
    <x v="0"/>
    <x v="1"/>
    <x v="0"/>
  </r>
  <r>
    <s v="ENR-0178"/>
    <s v="Cedar Grove Clinic"/>
    <s v="Dr. Sara Patel"/>
    <s v="IND-NPI-1178"/>
    <s v="GRP-NPI-9032"/>
    <s v="GRP-NPI-9032"/>
    <s v="GRP-NPI-9032"/>
    <s v="SYN-TIN-009"/>
    <x v="1"/>
    <s v="MED001"/>
    <s v="Government"/>
    <s v="PTAN-WRONG"/>
    <x v="2"/>
    <s v="Completed"/>
    <s v="Not Required"/>
    <s v="Rejected"/>
    <s v="Yes"/>
    <s v="Issue Found"/>
    <d v="2026-02-17T00:00:00"/>
    <m/>
    <x v="0"/>
    <x v="6"/>
    <x v="0"/>
    <d v="2026-06-12T00:00:00"/>
    <s v="PTAN or government payer provider number needs correction."/>
    <n v="106"/>
    <x v="0"/>
    <s v="NPI Match"/>
    <s v="Yes"/>
    <s v="No"/>
    <s v="No"/>
    <s v="Yes"/>
    <x v="1"/>
    <x v="1"/>
    <x v="0"/>
  </r>
  <r>
    <s v="ENR-0179"/>
    <s v="Summit Eye Care"/>
    <s v="Dr. Noah Reed"/>
    <s v="IND-NPI-1179"/>
    <s v="GRP-NPI-9031"/>
    <s v="GRP-NPI-9031"/>
    <s v="IND-NPI-1179"/>
    <s v="SYN-TIN-010"/>
    <x v="3"/>
    <s v="UHC001"/>
    <s v="Commercial"/>
    <s v="NA"/>
    <x v="2"/>
    <s v="Completed"/>
    <s v="Not Required"/>
    <s v="Rejected"/>
    <s v="Yes"/>
    <s v="Issue Found"/>
    <d v="2026-02-02T00:00:00"/>
    <m/>
    <x v="0"/>
    <x v="9"/>
    <x v="4"/>
    <d v="2026-06-05T00:00:00"/>
    <s v="Enrollment was submitted under individual NPI instead of group billing NPI."/>
    <n v="121"/>
    <x v="0"/>
    <s v="NPI Mismatch"/>
    <s v="Yes"/>
    <s v="No"/>
    <s v="No"/>
    <s v="No"/>
    <x v="1"/>
    <x v="1"/>
    <x v="0"/>
  </r>
  <r>
    <s v="ENR-0180"/>
    <s v="Blue Harbor ENT"/>
    <s v="Dr. Aria Joshi"/>
    <s v="IND-NPI-1180"/>
    <s v="GRP-NPI-9034"/>
    <s v="GRP-NPI-9034"/>
    <s v="GRP-NPI-9034"/>
    <s v="SYN-TIN-008"/>
    <x v="6"/>
    <s v="OLD-BCBS"/>
    <s v="Commercial"/>
    <s v="NA"/>
    <x v="0"/>
    <s v="Completed"/>
    <s v="Rejected"/>
    <s v="Not Required"/>
    <s v="Yes"/>
    <s v="Issue Found"/>
    <d v="2026-02-17T00:00:00"/>
    <m/>
    <x v="0"/>
    <x v="10"/>
    <x v="1"/>
    <d v="2026-06-09T00:00:00"/>
    <s v="Outdated payer ID needs to be replaced with current payer ID."/>
    <n v="106"/>
    <x v="0"/>
    <s v="NPI Match"/>
    <s v="No"/>
    <s v="Yes"/>
    <s v="No"/>
    <s v="No"/>
    <x v="0"/>
    <x v="0"/>
    <x v="0"/>
  </r>
  <r>
    <s v="ENR-0181"/>
    <s v="Evergreen Urology"/>
    <s v="Dr. Rohan Scott"/>
    <s v="IND-NPI-1181"/>
    <s v="GRP-NPI-9010"/>
    <s v="GRP-NPI-9010"/>
    <s v="GRP-NPI-9010"/>
    <s v="SYN-TIN-037"/>
    <x v="6"/>
    <s v="BCBS01"/>
    <s v="Commercial"/>
    <s v="NA"/>
    <x v="0"/>
    <s v="Completed"/>
    <s v="Approved"/>
    <s v="Not Required"/>
    <s v="No"/>
    <s v="Pending"/>
    <d v="2026-03-13T00:00:00"/>
    <m/>
    <x v="1"/>
    <x v="1"/>
    <x v="1"/>
    <d v="2026-06-08T00:00:00"/>
    <s v="Clearinghouse route or portal setup needs update before go-live."/>
    <n v="82"/>
    <x v="0"/>
    <s v="NPI Match"/>
    <s v="No"/>
    <s v="No"/>
    <s v="Yes"/>
    <s v="No"/>
    <x v="0"/>
    <x v="0"/>
    <x v="0"/>
  </r>
  <r>
    <s v="ENR-0182"/>
    <s v="Harborview Pediatrics"/>
    <s v="Dr. Vivek Khan"/>
    <s v="IND-NPI-1182"/>
    <s v="GRP-NPI-9013"/>
    <s v="GRP-NPI-9013"/>
    <s v="GRP-NPI-9013"/>
    <s v="SYN-TIN-065"/>
    <x v="2"/>
    <s v="CIG001"/>
    <s v="Commercial"/>
    <s v="NA"/>
    <x v="1"/>
    <s v="Completed"/>
    <s v="Approved"/>
    <s v="Approved"/>
    <s v="Yes"/>
    <s v="Completed"/>
    <d v="2026-04-02T00:00:00"/>
    <d v="2026-04-18T00:00:00"/>
    <x v="2"/>
    <x v="2"/>
    <x v="0"/>
    <d v="2026-06-11T00:00:00"/>
    <s v="Record is ready for expected transaction flow."/>
    <n v="16"/>
    <x v="1"/>
    <s v="NPI Match"/>
    <s v="No"/>
    <s v="No"/>
    <s v="No"/>
    <s v="No"/>
    <x v="2"/>
    <x v="2"/>
    <x v="1"/>
  </r>
  <r>
    <s v="ENR-0183"/>
    <s v="Eastwood Pulmonary"/>
    <s v="Dr. Kavya Miller"/>
    <s v="IND-NPI-1183"/>
    <s v="GRP-NPI-9038"/>
    <s v="GRP-NPI-9038"/>
    <s v="GRP-NPI-9038"/>
    <s v="SYN-TIN-004"/>
    <x v="0"/>
    <s v="MCD002"/>
    <s v="Government"/>
    <s v="PTAN-0183"/>
    <x v="0"/>
    <s v="In Progress"/>
    <s v="Not Started"/>
    <s v="Not Required"/>
    <s v="No"/>
    <s v="Not Started"/>
    <d v="2026-04-11T00:00:00"/>
    <m/>
    <x v="1"/>
    <x v="8"/>
    <x v="0"/>
    <d v="2026-06-12T00:00:00"/>
    <s v="Credentialing must be completed before enrollment can proceed."/>
    <n v="53"/>
    <x v="0"/>
    <s v="NPI Match"/>
    <s v="No"/>
    <s v="No"/>
    <s v="Yes"/>
    <s v="No"/>
    <x v="0"/>
    <x v="0"/>
    <x v="0"/>
  </r>
  <r>
    <s v="ENR-0184"/>
    <s v="Greenway Internal Medicine"/>
    <s v="Dr. Daniel Brown"/>
    <s v="IND-NPI-1184"/>
    <s v="GRP-NPI-9037"/>
    <s v="GRP-NPI-9037"/>
    <s v="GRP-NPI-9037"/>
    <s v="SYN-TIN-038"/>
    <x v="6"/>
    <s v="BCBS-OLD"/>
    <s v="Commercial"/>
    <s v="NA"/>
    <x v="1"/>
    <s v="Completed"/>
    <s v="Rejected"/>
    <s v="Rejected"/>
    <s v="Yes"/>
    <s v="Issue Found"/>
    <d v="2026-01-22T00:00:00"/>
    <m/>
    <x v="0"/>
    <x v="0"/>
    <x v="1"/>
    <d v="2026-06-10T00:00:00"/>
    <s v="Incorrect payer ID was used for enrollment or routing."/>
    <n v="132"/>
    <x v="0"/>
    <s v="NPI Match"/>
    <s v="No"/>
    <s v="Yes"/>
    <s v="No"/>
    <s v="No"/>
    <x v="0"/>
    <x v="1"/>
    <x v="0"/>
  </r>
  <r>
    <s v="ENR-0185"/>
    <s v="Eastwood Pulmonary"/>
    <s v="Dr. Farah Mehta"/>
    <s v="IND-NPI-1185"/>
    <s v="GRP-NPI-9016"/>
    <s v="GRP-NPI-9016"/>
    <s v="IND-NPI-1185"/>
    <s v="SYN-TIN-021"/>
    <x v="5"/>
    <s v="HUM001"/>
    <s v="Commercial"/>
    <s v="NA"/>
    <x v="1"/>
    <s v="Completed"/>
    <s v="Rejected"/>
    <s v="Rejected"/>
    <s v="Yes"/>
    <s v="Issue Found"/>
    <d v="2026-05-11T00:00:00"/>
    <m/>
    <x v="0"/>
    <x v="9"/>
    <x v="0"/>
    <d v="2026-06-04T00:00:00"/>
    <s v="Enrollment was submitted under individual NPI instead of group billing NPI."/>
    <n v="23"/>
    <x v="0"/>
    <s v="NPI Mismatch"/>
    <s v="Yes"/>
    <s v="No"/>
    <s v="No"/>
    <s v="No"/>
    <x v="0"/>
    <x v="1"/>
    <x v="0"/>
  </r>
  <r>
    <s v="ENR-0186"/>
    <s v="Blue Harbor ENT"/>
    <s v="Dr. Mina Mehta"/>
    <s v="IND-NPI-1186"/>
    <s v="GRP-NPI-9030"/>
    <s v="GRP-NPI-9030"/>
    <s v="GRP-NPI-9030"/>
    <s v="SYN-TIN-017"/>
    <x v="0"/>
    <s v="MCD002"/>
    <s v="Government"/>
    <s v="PTAN-0186"/>
    <x v="2"/>
    <s v="Completed"/>
    <s v="Not Required"/>
    <s v="Approved"/>
    <s v="Yes"/>
    <s v="Completed"/>
    <d v="2026-04-06T00:00:00"/>
    <d v="2026-04-24T00:00:00"/>
    <x v="2"/>
    <x v="2"/>
    <x v="2"/>
    <d v="2026-06-08T00:00:00"/>
    <s v="Record is ready for expected transaction flow."/>
    <n v="18"/>
    <x v="1"/>
    <s v="NPI Match"/>
    <s v="No"/>
    <s v="No"/>
    <s v="No"/>
    <s v="No"/>
    <x v="1"/>
    <x v="2"/>
    <x v="1"/>
  </r>
  <r>
    <s v="ENR-0187"/>
    <s v="Clearwater Pulmonary"/>
    <s v="Dr. Elena Scott"/>
    <s v="IND-NPI-1187"/>
    <s v="GRP-NPI-9036"/>
    <s v="GRP-NPI-9036"/>
    <s v="GRP-NPI-9118"/>
    <s v="SYN-TIN-013"/>
    <x v="1"/>
    <s v="MED001"/>
    <s v="Government"/>
    <s v="PTAN-0187"/>
    <x v="2"/>
    <s v="Completed"/>
    <s v="Not Required"/>
    <s v="Rejected"/>
    <s v="Yes"/>
    <s v="Issue Found"/>
    <d v="2026-05-10T00:00:00"/>
    <m/>
    <x v="0"/>
    <x v="7"/>
    <x v="3"/>
    <d v="2026-06-06T00:00:00"/>
    <s v="Enrolled NPI does not match the payer-credentialed NPI."/>
    <n v="24"/>
    <x v="0"/>
    <s v="NPI Mismatch"/>
    <s v="Yes"/>
    <s v="No"/>
    <s v="No"/>
    <s v="No"/>
    <x v="1"/>
    <x v="1"/>
    <x v="0"/>
  </r>
  <r>
    <s v="ENR-0188"/>
    <s v="Northside Pediatrics"/>
    <s v="Dr. Grace Kapoor"/>
    <s v="IND-NPI-1188"/>
    <s v="GRP-NPI-9040"/>
    <s v="GRP-NPI-9040"/>
    <s v="GRP-NPI-9040"/>
    <s v="SYN-TIN-041"/>
    <x v="4"/>
    <s v="AET001"/>
    <s v="Commercial"/>
    <s v="NA"/>
    <x v="0"/>
    <s v="Completed"/>
    <s v="Pending"/>
    <s v="Not Required"/>
    <s v="Yes"/>
    <s v="In Progress"/>
    <d v="2026-02-24T00:00:00"/>
    <m/>
    <x v="1"/>
    <x v="3"/>
    <x v="1"/>
    <d v="2026-06-08T00:00:00"/>
    <s v="Waiting on payer approval or payer response."/>
    <n v="99"/>
    <x v="0"/>
    <s v="NPI Match"/>
    <s v="No"/>
    <s v="No"/>
    <s v="No"/>
    <s v="No"/>
    <x v="0"/>
    <x v="0"/>
    <x v="0"/>
  </r>
  <r>
    <s v="ENR-0189"/>
    <s v="Cedar Grove Clinic"/>
    <s v="Dr. Kavya Mehta"/>
    <s v="IND-NPI-1189"/>
    <s v="GRP-NPI-9033"/>
    <s v="GRP-NPI-9033"/>
    <s v="GRP-NPI-9033"/>
    <s v="SYN-TIN-065"/>
    <x v="4"/>
    <s v="AET001"/>
    <s v="Commercial"/>
    <s v="NA"/>
    <x v="1"/>
    <s v="Completed"/>
    <s v="Approved"/>
    <s v="Pending"/>
    <s v="No"/>
    <s v="Pending"/>
    <d v="2026-01-20T00:00:00"/>
    <m/>
    <x v="1"/>
    <x v="1"/>
    <x v="2"/>
    <d v="2026-06-04T00:00:00"/>
    <s v="Clearinghouse route or portal setup needs update before go-live."/>
    <n v="134"/>
    <x v="0"/>
    <s v="NPI Match"/>
    <s v="No"/>
    <s v="No"/>
    <s v="Yes"/>
    <s v="No"/>
    <x v="0"/>
    <x v="1"/>
    <x v="0"/>
  </r>
  <r>
    <s v="ENR-0190"/>
    <s v="Blue Harbor ENT"/>
    <s v="Dr. Sanjay Chen"/>
    <s v="IND-NPI-1190"/>
    <s v="GRP-NPI-9038"/>
    <s v="GRP-NPI-9038"/>
    <s v="GRP-NPI-9038"/>
    <s v="SYN-TIN-002"/>
    <x v="6"/>
    <s v="BCBS01"/>
    <s v="Commercial"/>
    <s v="NA"/>
    <x v="0"/>
    <s v="Completed"/>
    <s v="Approved"/>
    <s v="Not Required"/>
    <s v="No"/>
    <s v="Pending"/>
    <d v="2026-05-15T00:00:00"/>
    <m/>
    <x v="1"/>
    <x v="1"/>
    <x v="1"/>
    <d v="2026-06-07T00:00:00"/>
    <s v="Clearinghouse route or portal setup needs update before go-live."/>
    <n v="19"/>
    <x v="2"/>
    <s v="NPI Match"/>
    <s v="No"/>
    <s v="No"/>
    <s v="Yes"/>
    <s v="No"/>
    <x v="0"/>
    <x v="0"/>
    <x v="0"/>
  </r>
  <r>
    <s v="ENR-0191"/>
    <s v="Harborview Pediatrics"/>
    <s v="Dr. Emily Ali"/>
    <s v="IND-NPI-1191"/>
    <s v="GRP-NPI-9009"/>
    <s v="GRP-NPI-9009"/>
    <s v="GRP-NPI-9009"/>
    <s v="SYN-TIN-025"/>
    <x v="6"/>
    <s v="BCBS-OLD"/>
    <s v="Commercial"/>
    <s v="NA"/>
    <x v="1"/>
    <s v="Completed"/>
    <s v="Rejected"/>
    <s v="Rejected"/>
    <s v="Yes"/>
    <s v="Issue Found"/>
    <d v="2026-01-26T00:00:00"/>
    <m/>
    <x v="0"/>
    <x v="0"/>
    <x v="0"/>
    <d v="2026-06-09T00:00:00"/>
    <s v="Incorrect payer ID was used for enrollment or routing."/>
    <n v="128"/>
    <x v="0"/>
    <s v="NPI Match"/>
    <s v="No"/>
    <s v="Yes"/>
    <s v="No"/>
    <s v="No"/>
    <x v="0"/>
    <x v="1"/>
    <x v="0"/>
  </r>
  <r>
    <s v="ENR-0192"/>
    <s v="Silverline Neurology"/>
    <s v="Dr. Ivy Brooks"/>
    <s v="IND-NPI-1192"/>
    <s v="GRP-NPI-9005"/>
    <s v="GRP-NPI-9005"/>
    <s v="GRP-NPI-9005"/>
    <s v="SYN-TIN-051"/>
    <x v="4"/>
    <s v="WRONG-AET"/>
    <s v="Commercial"/>
    <s v="NA"/>
    <x v="1"/>
    <s v="Completed"/>
    <s v="Rejected"/>
    <s v="Rejected"/>
    <s v="Yes"/>
    <s v="Issue Found"/>
    <d v="2026-02-14T00:00:00"/>
    <m/>
    <x v="0"/>
    <x v="0"/>
    <x v="0"/>
    <d v="2026-06-05T00:00:00"/>
    <s v="Incorrect payer ID was used for enrollment or routing."/>
    <n v="109"/>
    <x v="0"/>
    <s v="NPI Match"/>
    <s v="No"/>
    <s v="Yes"/>
    <s v="No"/>
    <s v="No"/>
    <x v="0"/>
    <x v="1"/>
    <x v="0"/>
  </r>
  <r>
    <s v="ENR-0193"/>
    <s v="Silverline Neurology"/>
    <s v="Dr. Meera Rao"/>
    <s v="IND-NPI-1193"/>
    <s v="GRP-NPI-9024"/>
    <s v="GRP-NPI-9024"/>
    <s v="GRP-NPI-9126"/>
    <s v="SYN-TIN-005"/>
    <x v="5"/>
    <s v="HUM001"/>
    <s v="Commercial"/>
    <s v="NA"/>
    <x v="0"/>
    <s v="Completed"/>
    <s v="Rejected"/>
    <s v="Not Required"/>
    <s v="Yes"/>
    <s v="Issue Found"/>
    <d v="2026-05-23T00:00:00"/>
    <m/>
    <x v="0"/>
    <x v="7"/>
    <x v="0"/>
    <d v="2026-06-03T00:00:00"/>
    <s v="Enrolled NPI does not match the payer-credentialed NPI."/>
    <n v="11"/>
    <x v="2"/>
    <s v="NPI Mismatch"/>
    <s v="Yes"/>
    <s v="No"/>
    <s v="No"/>
    <s v="No"/>
    <x v="0"/>
    <x v="0"/>
    <x v="0"/>
  </r>
  <r>
    <s v="ENR-0194"/>
    <s v="Hillcrest Orthopedics"/>
    <s v="Dr. Meera Rivera"/>
    <s v="IND-NPI-1194"/>
    <s v="GRP-NPI-9031"/>
    <s v="GRP-NPI-9031"/>
    <s v="GRP-NPI-9133"/>
    <s v="SYN-TIN-041"/>
    <x v="3"/>
    <s v="UHC001"/>
    <s v="Commercial"/>
    <s v="NA"/>
    <x v="1"/>
    <s v="Completed"/>
    <s v="Rejected"/>
    <s v="Rejected"/>
    <s v="Yes"/>
    <s v="Issue Found"/>
    <d v="2026-02-19T00:00:00"/>
    <m/>
    <x v="0"/>
    <x v="7"/>
    <x v="1"/>
    <d v="2026-06-08T00:00:00"/>
    <s v="Enrolled NPI does not match the payer-credentialed NPI."/>
    <n v="104"/>
    <x v="0"/>
    <s v="NPI Mismatch"/>
    <s v="Yes"/>
    <s v="No"/>
    <s v="No"/>
    <s v="No"/>
    <x v="0"/>
    <x v="1"/>
    <x v="0"/>
  </r>
  <r>
    <s v="ENR-0195"/>
    <s v="BrightCare Cardiology"/>
    <s v="Dr. Noah Ahmed"/>
    <s v="IND-NPI-1195"/>
    <s v="GRP-NPI-9020"/>
    <s v="GRP-NPI-9020"/>
    <s v="GRP-NPI-9020"/>
    <s v="SYN-TIN-048"/>
    <x v="3"/>
    <s v="WRONG-UHC"/>
    <s v="Commercial"/>
    <s v="NA"/>
    <x v="2"/>
    <s v="Completed"/>
    <s v="Not Required"/>
    <s v="Rejected"/>
    <s v="Yes"/>
    <s v="Issue Found"/>
    <d v="2026-04-01T00:00:00"/>
    <m/>
    <x v="0"/>
    <x v="10"/>
    <x v="0"/>
    <d v="2026-06-10T00:00:00"/>
    <s v="Outdated payer ID needs to be replaced with current payer ID."/>
    <n v="63"/>
    <x v="0"/>
    <s v="NPI Match"/>
    <s v="No"/>
    <s v="Yes"/>
    <s v="No"/>
    <s v="No"/>
    <x v="1"/>
    <x v="1"/>
    <x v="0"/>
  </r>
  <r>
    <s v="ENR-0196"/>
    <s v="Pine Ridge Family Clinic"/>
    <s v="Dr. Rohan Ali"/>
    <s v="IND-NPI-1196"/>
    <s v="GRP-NPI-9038"/>
    <s v="GRP-NPI-9038"/>
    <s v="GRP-NPI-9038"/>
    <s v="SYN-TIN-034"/>
    <x v="6"/>
    <s v="BCBS01"/>
    <s v="Commercial"/>
    <s v="NA"/>
    <x v="1"/>
    <s v="In Progress"/>
    <s v="Not Started"/>
    <s v="Not Started"/>
    <s v="No"/>
    <s v="Not Started"/>
    <d v="2026-01-21T00:00:00"/>
    <m/>
    <x v="1"/>
    <x v="8"/>
    <x v="2"/>
    <d v="2026-06-12T00:00:00"/>
    <s v="Credentialing must be completed before enrollment can proceed."/>
    <n v="133"/>
    <x v="0"/>
    <s v="NPI Match"/>
    <s v="No"/>
    <s v="No"/>
    <s v="Yes"/>
    <s v="No"/>
    <x v="0"/>
    <x v="1"/>
    <x v="0"/>
  </r>
  <r>
    <s v="ENR-0197"/>
    <s v="Eastwood Pulmonary"/>
    <s v="Dr. Zara Miller"/>
    <s v="IND-NPI-1197"/>
    <s v="GRP-NPI-9015"/>
    <s v="GRP-NPI-9015"/>
    <s v="IND-NPI-1197"/>
    <s v="SYN-TIN-049"/>
    <x v="2"/>
    <s v="CIG001"/>
    <s v="Commercial"/>
    <s v="NA"/>
    <x v="0"/>
    <s v="Completed"/>
    <s v="Rejected"/>
    <s v="Not Required"/>
    <s v="Yes"/>
    <s v="Issue Found"/>
    <d v="2026-05-29T00:00:00"/>
    <m/>
    <x v="0"/>
    <x v="9"/>
    <x v="1"/>
    <d v="2026-06-13T00:00:00"/>
    <s v="Enrollment was submitted under individual NPI instead of group billing NPI."/>
    <n v="5"/>
    <x v="2"/>
    <s v="NPI Mismatch"/>
    <s v="Yes"/>
    <s v="No"/>
    <s v="No"/>
    <s v="No"/>
    <x v="0"/>
    <x v="0"/>
    <x v="0"/>
  </r>
  <r>
    <s v="ENR-0198"/>
    <s v="Hillcrest Orthopedics"/>
    <s v="Dr. Sanjay Rao"/>
    <s v="IND-NPI-1198"/>
    <s v="GRP-NPI-9037"/>
    <s v="GRP-NPI-9037"/>
    <s v="GRP-NPI-9037"/>
    <s v="SYN-TIN-027"/>
    <x v="2"/>
    <s v="CIG001"/>
    <s v="Commercial"/>
    <s v="NA"/>
    <x v="0"/>
    <s v="Completed"/>
    <s v="Approved"/>
    <s v="Not Required"/>
    <s v="Yes"/>
    <s v="Completed"/>
    <d v="2026-04-05T00:00:00"/>
    <d v="2026-04-18T00:00:00"/>
    <x v="2"/>
    <x v="2"/>
    <x v="2"/>
    <d v="2026-06-05T00:00:00"/>
    <s v="Record is ready for expected transaction flow."/>
    <n v="13"/>
    <x v="1"/>
    <s v="NPI Match"/>
    <s v="No"/>
    <s v="No"/>
    <s v="No"/>
    <s v="No"/>
    <x v="2"/>
    <x v="0"/>
    <x v="1"/>
  </r>
  <r>
    <s v="ENR-0199"/>
    <s v="Southview Endocrinology"/>
    <s v="Dr. Owen Singh"/>
    <s v="IND-NPI-1199"/>
    <s v="GRP-NPI-9040"/>
    <s v="GRP-NPI-9040"/>
    <s v="GRP-NPI-9040"/>
    <s v="SYN-TIN-042"/>
    <x v="4"/>
    <s v="AET-OLD"/>
    <s v="Commercial"/>
    <s v="NA"/>
    <x v="1"/>
    <s v="Completed"/>
    <s v="Rejected"/>
    <s v="Rejected"/>
    <s v="Yes"/>
    <s v="Issue Found"/>
    <d v="2026-02-19T00:00:00"/>
    <m/>
    <x v="0"/>
    <x v="0"/>
    <x v="3"/>
    <d v="2026-06-11T00:00:00"/>
    <s v="Incorrect payer ID was used for enrollment or routing."/>
    <n v="104"/>
    <x v="0"/>
    <s v="NPI Match"/>
    <s v="No"/>
    <s v="Yes"/>
    <s v="No"/>
    <s v="No"/>
    <x v="0"/>
    <x v="1"/>
    <x v="0"/>
  </r>
  <r>
    <s v="ENR-0200"/>
    <s v="Coral Springs Primary Care"/>
    <s v="Dr. Lucas Scott"/>
    <s v="IND-NPI-1200"/>
    <s v="GRP-NPI-9025"/>
    <s v="GRP-NPI-9025"/>
    <s v="IND-NPI-1200"/>
    <s v="SYN-TIN-046"/>
    <x v="6"/>
    <s v="BCBS01"/>
    <s v="Commercial"/>
    <s v="NA"/>
    <x v="1"/>
    <s v="Completed"/>
    <s v="Rejected"/>
    <s v="Rejected"/>
    <s v="Yes"/>
    <s v="Issue Found"/>
    <d v="2026-05-31T00:00:00"/>
    <m/>
    <x v="0"/>
    <x v="9"/>
    <x v="1"/>
    <d v="2026-06-08T00:00:00"/>
    <s v="Enrollment was submitted under individual NPI instead of group billing NPI."/>
    <n v="3"/>
    <x v="2"/>
    <s v="NPI Mismatch"/>
    <s v="Yes"/>
    <s v="No"/>
    <s v="No"/>
    <s v="No"/>
    <x v="0"/>
    <x v="1"/>
    <x v="0"/>
  </r>
  <r>
    <s v="ENR-0201"/>
    <s v="Coral Springs Primary Care"/>
    <s v="Dr. Hannah Ahmed"/>
    <s v="IND-NPI-1201"/>
    <s v="GRP-NPI-9031"/>
    <s v="GRP-NPI-9031"/>
    <s v="GRP-NPI-9031"/>
    <s v="SYN-TIN-037"/>
    <x v="0"/>
    <s v="MCD002"/>
    <s v="Government"/>
    <s v="PTAN-0201"/>
    <x v="1"/>
    <s v="Completed"/>
    <s v="Approved"/>
    <s v="Pending"/>
    <s v="No"/>
    <s v="Pending"/>
    <d v="2026-04-01T00:00:00"/>
    <m/>
    <x v="1"/>
    <x v="1"/>
    <x v="4"/>
    <d v="2026-06-06T00:00:00"/>
    <s v="Clearinghouse route or portal setup needs update before go-live."/>
    <n v="63"/>
    <x v="0"/>
    <s v="NPI Match"/>
    <s v="No"/>
    <s v="No"/>
    <s v="Yes"/>
    <s v="No"/>
    <x v="0"/>
    <x v="1"/>
    <x v="0"/>
  </r>
  <r>
    <s v="ENR-0202"/>
    <s v="Grand Oak Surgery Center"/>
    <s v="Dr. Omar Reed"/>
    <s v="IND-NPI-1202"/>
    <s v="GRP-NPI-9032"/>
    <s v="GRP-NPI-9032"/>
    <s v="GRP-NPI-9118"/>
    <s v="SYN-TIN-049"/>
    <x v="6"/>
    <s v="BCBS01"/>
    <s v="Commercial"/>
    <s v="NA"/>
    <x v="1"/>
    <s v="Completed"/>
    <s v="Rejected"/>
    <s v="Rejected"/>
    <s v="Yes"/>
    <s v="Issue Found"/>
    <d v="2026-03-29T00:00:00"/>
    <m/>
    <x v="0"/>
    <x v="7"/>
    <x v="1"/>
    <d v="2026-06-04T00:00:00"/>
    <s v="Enrolled NPI does not match the payer-credentialed NPI."/>
    <n v="66"/>
    <x v="0"/>
    <s v="NPI Mismatch"/>
    <s v="Yes"/>
    <s v="No"/>
    <s v="No"/>
    <s v="No"/>
    <x v="0"/>
    <x v="1"/>
    <x v="0"/>
  </r>
  <r>
    <s v="ENR-0203"/>
    <s v="Stonebridge Family Medicine"/>
    <s v="Dr. Noah Das"/>
    <s v="IND-NPI-1203"/>
    <s v="GRP-NPI-9023"/>
    <s v="GRP-NPI-9023"/>
    <s v="GRP-NPI-9023"/>
    <s v="SYN-TIN-045"/>
    <x v="5"/>
    <s v="HUM001"/>
    <s v="Commercial"/>
    <s v="NA"/>
    <x v="1"/>
    <s v="Completed"/>
    <s v="Approved"/>
    <s v="Pending"/>
    <s v="No"/>
    <s v="Pending"/>
    <d v="2026-03-29T00:00:00"/>
    <m/>
    <x v="1"/>
    <x v="1"/>
    <x v="0"/>
    <d v="2026-06-14T00:00:00"/>
    <s v="Clearinghouse route or portal setup needs update before go-live."/>
    <n v="66"/>
    <x v="0"/>
    <s v="NPI Match"/>
    <s v="No"/>
    <s v="No"/>
    <s v="Yes"/>
    <s v="No"/>
    <x v="0"/>
    <x v="1"/>
    <x v="0"/>
  </r>
  <r>
    <s v="ENR-0204"/>
    <s v="Canyon Ridge Clinic"/>
    <s v="Dr. Leah Brown"/>
    <s v="IND-NPI-1204"/>
    <s v="GRP-NPI-9017"/>
    <s v="GRP-NPI-9017"/>
    <s v="GRP-NPI-9017"/>
    <s v="SYN-TIN-018"/>
    <x v="2"/>
    <s v="CIG001"/>
    <s v="Commercial"/>
    <s v="NA"/>
    <x v="1"/>
    <s v="Completed"/>
    <s v="Approved"/>
    <s v="Approved"/>
    <s v="Yes"/>
    <s v="Completed"/>
    <d v="2026-06-01T00:00:00"/>
    <d v="2026-05-31T00:00:00"/>
    <x v="2"/>
    <x v="2"/>
    <x v="4"/>
    <d v="2026-06-14T00:00:00"/>
    <s v="Record is ready for expected transaction flow."/>
    <n v="-1"/>
    <x v="1"/>
    <s v="NPI Match"/>
    <s v="No"/>
    <s v="No"/>
    <s v="No"/>
    <s v="No"/>
    <x v="2"/>
    <x v="2"/>
    <x v="1"/>
  </r>
  <r>
    <s v="ENR-0205"/>
    <s v="Lakeside Women Health"/>
    <s v="Dr. Mira Torres"/>
    <s v="IND-NPI-1205"/>
    <s v="GRP-NPI-9038"/>
    <s v="GRP-NPI-9038"/>
    <s v="GRP-NPI-9038"/>
    <s v="SYN-TIN-007"/>
    <x v="0"/>
    <s v="MCD002"/>
    <s v="Government"/>
    <s v="PTAN-0205"/>
    <x v="0"/>
    <s v="In Progress"/>
    <s v="Not Started"/>
    <s v="Not Required"/>
    <s v="No"/>
    <s v="Not Started"/>
    <d v="2026-05-30T00:00:00"/>
    <m/>
    <x v="1"/>
    <x v="8"/>
    <x v="3"/>
    <d v="2026-06-06T00:00:00"/>
    <s v="Credentialing must be completed before enrollment can proceed."/>
    <n v="4"/>
    <x v="2"/>
    <s v="NPI Match"/>
    <s v="No"/>
    <s v="No"/>
    <s v="Yes"/>
    <s v="No"/>
    <x v="0"/>
    <x v="0"/>
    <x v="0"/>
  </r>
  <r>
    <s v="ENR-0206"/>
    <s v="Lakeside Women Health"/>
    <s v="Dr. Mina Iyer"/>
    <s v="IND-NPI-1206"/>
    <s v="GRP-NPI-9031"/>
    <s v="GRP-NPI-9031"/>
    <s v="GRP-NPI-9031"/>
    <s v="SYN-TIN-062"/>
    <x v="1"/>
    <s v="MED001"/>
    <s v="Government"/>
    <s v="PTAN-0206"/>
    <x v="1"/>
    <s v="Completed"/>
    <s v="Approved"/>
    <s v="Approved"/>
    <s v="Yes"/>
    <s v="Completed"/>
    <d v="2026-02-24T00:00:00"/>
    <d v="2026-03-09T00:00:00"/>
    <x v="2"/>
    <x v="2"/>
    <x v="2"/>
    <d v="2026-06-13T00:00:00"/>
    <s v="Record is ready for expected transaction flow."/>
    <n v="13"/>
    <x v="1"/>
    <s v="NPI Match"/>
    <s v="No"/>
    <s v="No"/>
    <s v="No"/>
    <s v="No"/>
    <x v="2"/>
    <x v="2"/>
    <x v="1"/>
  </r>
  <r>
    <s v="ENR-0207"/>
    <s v="Eastwood Pulmonary"/>
    <s v="Dr. Isha Singh"/>
    <s v="IND-NPI-1207"/>
    <s v="GRP-NPI-9019"/>
    <s v="GRP-NPI-9019"/>
    <s v="GRP-NPI-9019"/>
    <s v="SYN-TIN-005"/>
    <x v="6"/>
    <s v="BCBS01"/>
    <s v="Commercial"/>
    <s v="NA"/>
    <x v="2"/>
    <s v="Completed"/>
    <s v="Not Required"/>
    <s v="Approved"/>
    <s v="Yes"/>
    <s v="Completed"/>
    <d v="2026-02-06T00:00:00"/>
    <d v="2026-02-23T00:00:00"/>
    <x v="2"/>
    <x v="2"/>
    <x v="3"/>
    <d v="2026-06-12T00:00:00"/>
    <s v="Record is ready for expected transaction flow."/>
    <n v="17"/>
    <x v="1"/>
    <s v="NPI Match"/>
    <s v="No"/>
    <s v="No"/>
    <s v="No"/>
    <s v="No"/>
    <x v="1"/>
    <x v="2"/>
    <x v="1"/>
  </r>
  <r>
    <s v="ENR-0208"/>
    <s v="Canyon Ridge Clinic"/>
    <s v="Dr. Thomas Ali"/>
    <s v="IND-NPI-1208"/>
    <s v="GRP-NPI-9012"/>
    <s v="GRP-NPI-9012"/>
    <s v="IND-NPI-1208"/>
    <s v="SYN-TIN-005"/>
    <x v="1"/>
    <s v="MED001"/>
    <s v="Government"/>
    <s v="PTAN-0208"/>
    <x v="1"/>
    <s v="Completed"/>
    <s v="Rejected"/>
    <s v="Rejected"/>
    <s v="Yes"/>
    <s v="Issue Found"/>
    <d v="2026-05-21T00:00:00"/>
    <m/>
    <x v="0"/>
    <x v="9"/>
    <x v="4"/>
    <d v="2026-06-05T00:00:00"/>
    <s v="Enrollment was submitted under individual NPI instead of group billing NPI."/>
    <n v="13"/>
    <x v="2"/>
    <s v="NPI Mismatch"/>
    <s v="Yes"/>
    <s v="No"/>
    <s v="No"/>
    <s v="No"/>
    <x v="0"/>
    <x v="1"/>
    <x v="0"/>
  </r>
  <r>
    <s v="ENR-0209"/>
    <s v="River Valley Family Care"/>
    <s v="Dr. Farah Miller"/>
    <s v="IND-NPI-1209"/>
    <s v="GRP-NPI-9039"/>
    <s v="GRP-NPI-9039"/>
    <s v="GRP-NPI-9039"/>
    <s v="SYN-TIN-064"/>
    <x v="1"/>
    <s v="MED001"/>
    <s v="Government"/>
    <s v="PTAN-0209"/>
    <x v="1"/>
    <s v="Completed"/>
    <s v="Approved"/>
    <s v="Pending"/>
    <s v="No"/>
    <s v="Pending"/>
    <d v="2026-05-11T00:00:00"/>
    <m/>
    <x v="1"/>
    <x v="1"/>
    <x v="1"/>
    <d v="2026-06-13T00:00:00"/>
    <s v="Clearinghouse route or portal setup needs update before go-live."/>
    <n v="23"/>
    <x v="0"/>
    <s v="NPI Match"/>
    <s v="No"/>
    <s v="No"/>
    <s v="Yes"/>
    <s v="No"/>
    <x v="0"/>
    <x v="1"/>
    <x v="0"/>
  </r>
  <r>
    <s v="ENR-0210"/>
    <s v="Stonebridge Family Medicine"/>
    <s v="Dr. Sara Carter"/>
    <s v="IND-NPI-1210"/>
    <s v="GRP-NPI-9033"/>
    <s v="GRP-NPI-9033"/>
    <s v="GRP-NPI-9033"/>
    <s v="SYN-TIN-033"/>
    <x v="4"/>
    <s v="WRONG-AET"/>
    <s v="Commercial"/>
    <s v="NA"/>
    <x v="2"/>
    <s v="Completed"/>
    <s v="Not Required"/>
    <s v="Rejected"/>
    <s v="Yes"/>
    <s v="Issue Found"/>
    <d v="2026-02-25T00:00:00"/>
    <m/>
    <x v="0"/>
    <x v="10"/>
    <x v="2"/>
    <d v="2026-06-14T00:00:00"/>
    <s v="Outdated payer ID needs to be replaced with current payer ID."/>
    <n v="98"/>
    <x v="0"/>
    <s v="NPI Match"/>
    <s v="No"/>
    <s v="Yes"/>
    <s v="No"/>
    <s v="No"/>
    <x v="1"/>
    <x v="1"/>
    <x v="0"/>
  </r>
  <r>
    <s v="ENR-0211"/>
    <s v="Grand Oak Surgery Center"/>
    <s v="Dr. Thomas Menon"/>
    <s v="IND-NPI-1211"/>
    <s v="GRP-NPI-9022"/>
    <s v="GRP-NPI-9022"/>
    <s v="GRP-NPI-9022"/>
    <s v="SYN-TIN-052"/>
    <x v="5"/>
    <s v="HUM001"/>
    <s v="Commercial"/>
    <s v="NA"/>
    <x v="2"/>
    <s v="In Progress"/>
    <s v="Not Required"/>
    <s v="Not Started"/>
    <s v="No"/>
    <s v="Not Started"/>
    <d v="2026-03-05T00:00:00"/>
    <m/>
    <x v="1"/>
    <x v="8"/>
    <x v="1"/>
    <d v="2026-06-05T00:00:00"/>
    <s v="Credentialing must be completed before enrollment can proceed."/>
    <n v="90"/>
    <x v="0"/>
    <s v="NPI Match"/>
    <s v="No"/>
    <s v="No"/>
    <s v="Yes"/>
    <s v="No"/>
    <x v="1"/>
    <x v="1"/>
    <x v="0"/>
  </r>
  <r>
    <s v="ENR-0212"/>
    <s v="Evergreen Urology"/>
    <s v="Dr. Ethan Scott"/>
    <s v="IND-NPI-1212"/>
    <s v="GRP-NPI-9021"/>
    <s v="GRP-NPI-9021"/>
    <s v="GRP-NPI-9021"/>
    <s v="SYN-TIN-001"/>
    <x v="1"/>
    <s v="MED001"/>
    <s v="Government"/>
    <s v="PTAN-0212"/>
    <x v="2"/>
    <s v="Completed"/>
    <s v="Not Required"/>
    <s v="Approved"/>
    <s v="Yes"/>
    <s v="Completed"/>
    <d v="2026-02-19T00:00:00"/>
    <d v="2026-03-05T00:00:00"/>
    <x v="2"/>
    <x v="2"/>
    <x v="3"/>
    <d v="2026-06-08T00:00:00"/>
    <s v="Record is ready for expected transaction flow."/>
    <n v="14"/>
    <x v="1"/>
    <s v="NPI Match"/>
    <s v="No"/>
    <s v="No"/>
    <s v="No"/>
    <s v="No"/>
    <x v="1"/>
    <x v="2"/>
    <x v="1"/>
  </r>
  <r>
    <s v="ENR-0213"/>
    <s v="Westbrook Dermatology"/>
    <s v="Dr. Amara Patel"/>
    <s v="IND-NPI-1213"/>
    <s v="GRP-NPI-9029"/>
    <s v="GRP-NPI-9029"/>
    <s v="GRP-NPI-9029"/>
    <s v="SYN-TIN-031"/>
    <x v="5"/>
    <s v="HUM001"/>
    <s v="Commercial"/>
    <s v="NA"/>
    <x v="2"/>
    <s v="Completed"/>
    <s v="Not Required"/>
    <s v="Pending"/>
    <s v="No"/>
    <s v="Pending"/>
    <d v="2026-01-17T00:00:00"/>
    <m/>
    <x v="1"/>
    <x v="1"/>
    <x v="4"/>
    <d v="2026-06-07T00:00:00"/>
    <s v="Clearinghouse route or portal setup needs update before go-live."/>
    <n v="137"/>
    <x v="0"/>
    <s v="NPI Match"/>
    <s v="No"/>
    <s v="No"/>
    <s v="Yes"/>
    <s v="No"/>
    <x v="1"/>
    <x v="1"/>
    <x v="0"/>
  </r>
  <r>
    <s v="ENR-0214"/>
    <s v="Northside Pediatrics"/>
    <s v="Dr. Rohan Morgan"/>
    <s v="IND-NPI-1214"/>
    <s v="GRP-NPI-9020"/>
    <s v="GRP-NPI-9020"/>
    <s v="GRP-NPI-9120"/>
    <s v="SYN-TIN-048"/>
    <x v="0"/>
    <s v="MCD002"/>
    <s v="Government"/>
    <s v="PTAN-0214"/>
    <x v="2"/>
    <s v="Completed"/>
    <s v="Not Required"/>
    <s v="Rejected"/>
    <s v="Yes"/>
    <s v="Issue Found"/>
    <d v="2026-02-14T00:00:00"/>
    <m/>
    <x v="0"/>
    <x v="7"/>
    <x v="4"/>
    <d v="2026-06-13T00:00:00"/>
    <s v="Enrolled NPI does not match the payer-credentialed NPI."/>
    <n v="109"/>
    <x v="0"/>
    <s v="NPI Mismatch"/>
    <s v="Yes"/>
    <s v="No"/>
    <s v="No"/>
    <s v="No"/>
    <x v="1"/>
    <x v="1"/>
    <x v="0"/>
  </r>
  <r>
    <s v="ENR-0215"/>
    <s v="Parkside Oncology"/>
    <s v="Dr. Lily Patel"/>
    <s v="IND-NPI-1215"/>
    <s v="GRP-NPI-9009"/>
    <s v="GRP-NPI-9009"/>
    <s v="GRP-NPI-9009"/>
    <s v="SYN-TIN-061"/>
    <x v="4"/>
    <s v="WRONG-AET"/>
    <s v="Commercial"/>
    <s v="NA"/>
    <x v="0"/>
    <s v="Completed"/>
    <s v="Rejected"/>
    <s v="Not Required"/>
    <s v="Yes"/>
    <s v="Issue Found"/>
    <d v="2026-05-01T00:00:00"/>
    <m/>
    <x v="0"/>
    <x v="0"/>
    <x v="1"/>
    <d v="2026-06-14T00:00:00"/>
    <s v="Incorrect payer ID was used for enrollment or routing."/>
    <n v="33"/>
    <x v="0"/>
    <s v="NPI Match"/>
    <s v="No"/>
    <s v="Yes"/>
    <s v="No"/>
    <s v="No"/>
    <x v="0"/>
    <x v="0"/>
    <x v="0"/>
  </r>
  <r>
    <s v="ENR-0216"/>
    <s v="Clearwater Pulmonary"/>
    <s v="Dr. Samir Rivera"/>
    <s v="IND-NPI-1216"/>
    <s v="GRP-NPI-9043"/>
    <s v="GRP-NPI-9043"/>
    <s v="GRP-NPI-9043"/>
    <s v="SYN-TIN-047"/>
    <x v="5"/>
    <s v="HUM001"/>
    <s v="Commercial"/>
    <s v="NA"/>
    <x v="0"/>
    <s v="Completed"/>
    <s v="Approved"/>
    <s v="Not Required"/>
    <s v="Yes"/>
    <s v="Completed"/>
    <d v="2026-02-04T00:00:00"/>
    <d v="2026-02-19T00:00:00"/>
    <x v="2"/>
    <x v="2"/>
    <x v="1"/>
    <d v="2026-06-10T00:00:00"/>
    <s v="Record is ready for expected transaction flow."/>
    <n v="15"/>
    <x v="1"/>
    <s v="NPI Match"/>
    <s v="No"/>
    <s v="No"/>
    <s v="No"/>
    <s v="No"/>
    <x v="2"/>
    <x v="0"/>
    <x v="1"/>
  </r>
  <r>
    <s v="ENR-0217"/>
    <s v="Greenway Internal Medicine"/>
    <s v="Dr. Elias Shah"/>
    <s v="IND-NPI-1217"/>
    <s v="GRP-NPI-9004"/>
    <s v="GRP-NPI-9004"/>
    <s v="IND-NPI-1217"/>
    <s v="SYN-TIN-042"/>
    <x v="5"/>
    <s v="HUM001"/>
    <s v="Commercial"/>
    <s v="NA"/>
    <x v="1"/>
    <s v="Completed"/>
    <s v="Rejected"/>
    <s v="Rejected"/>
    <s v="Yes"/>
    <s v="Issue Found"/>
    <d v="2026-06-01T00:00:00"/>
    <m/>
    <x v="0"/>
    <x v="9"/>
    <x v="3"/>
    <d v="2026-06-05T00:00:00"/>
    <s v="Enrollment was submitted under individual NPI instead of group billing NPI."/>
    <n v="2"/>
    <x v="2"/>
    <s v="NPI Mismatch"/>
    <s v="Yes"/>
    <s v="No"/>
    <s v="No"/>
    <s v="No"/>
    <x v="0"/>
    <x v="1"/>
    <x v="0"/>
  </r>
  <r>
    <s v="ENR-0218"/>
    <s v="Harborview Pediatrics"/>
    <s v="Dr. Nora Morgan"/>
    <s v="IND-NPI-1218"/>
    <s v="GRP-NPI-9008"/>
    <s v="GRP-NPI-9008"/>
    <s v="GRP-NPI-9106"/>
    <s v="SYN-TIN-059"/>
    <x v="2"/>
    <s v="CIG001"/>
    <s v="Commercial"/>
    <s v="NA"/>
    <x v="0"/>
    <s v="Completed"/>
    <s v="Rejected"/>
    <s v="Not Required"/>
    <s v="Yes"/>
    <s v="Issue Found"/>
    <d v="2026-05-25T00:00:00"/>
    <m/>
    <x v="0"/>
    <x v="7"/>
    <x v="0"/>
    <d v="2026-06-10T00:00:00"/>
    <s v="Enrolled NPI does not match the payer-credentialed NPI."/>
    <n v="9"/>
    <x v="2"/>
    <s v="NPI Mismatch"/>
    <s v="Yes"/>
    <s v="No"/>
    <s v="No"/>
    <s v="No"/>
    <x v="0"/>
    <x v="0"/>
    <x v="0"/>
  </r>
  <r>
    <s v="ENR-0219"/>
    <s v="Hillcrest Orthopedics"/>
    <s v="Dr. Owen Ali"/>
    <s v="IND-NPI-1219"/>
    <s v="GRP-NPI-9030"/>
    <s v="GRP-NPI-9030"/>
    <s v="IND-NPI-1219"/>
    <s v="SYN-TIN-051"/>
    <x v="3"/>
    <s v="UHC001"/>
    <s v="Commercial"/>
    <s v="NA"/>
    <x v="0"/>
    <s v="Completed"/>
    <s v="Rejected"/>
    <s v="Not Required"/>
    <s v="Yes"/>
    <s v="Issue Found"/>
    <d v="2026-04-03T00:00:00"/>
    <m/>
    <x v="0"/>
    <x v="9"/>
    <x v="0"/>
    <d v="2026-06-14T00:00:00"/>
    <s v="Enrollment was submitted under individual NPI instead of group billing NPI."/>
    <n v="61"/>
    <x v="0"/>
    <s v="NPI Mismatch"/>
    <s v="Yes"/>
    <s v="No"/>
    <s v="No"/>
    <s v="No"/>
    <x v="0"/>
    <x v="0"/>
    <x v="0"/>
  </r>
  <r>
    <s v="ENR-0220"/>
    <s v="Westbrook Dermatology"/>
    <s v="Dr. Asha Torres"/>
    <s v="IND-NPI-1220"/>
    <s v="GRP-NPI-9014"/>
    <s v="GRP-NPI-9014"/>
    <s v="IND-NPI-1220"/>
    <s v="SYN-TIN-009"/>
    <x v="3"/>
    <s v="UHC001"/>
    <s v="Commercial"/>
    <s v="NA"/>
    <x v="0"/>
    <s v="Completed"/>
    <s v="Rejected"/>
    <s v="Not Required"/>
    <s v="Yes"/>
    <s v="Issue Found"/>
    <d v="2026-01-31T00:00:00"/>
    <m/>
    <x v="0"/>
    <x v="9"/>
    <x v="0"/>
    <d v="2026-06-11T00:00:00"/>
    <s v="Enrollment was submitted under individual NPI instead of group billing NPI."/>
    <n v="123"/>
    <x v="0"/>
    <s v="NPI Mismatch"/>
    <s v="Yes"/>
    <s v="No"/>
    <s v="No"/>
    <s v="No"/>
    <x v="0"/>
    <x v="0"/>
    <x v="0"/>
  </r>
  <r>
    <s v="ENR-0221"/>
    <s v="Canyon Ridge Clinic"/>
    <s v="Dr. Lucas Rao"/>
    <s v="IND-NPI-1221"/>
    <s v="GRP-NPI-9019"/>
    <s v="GRP-NPI-9019"/>
    <s v="GRP-NPI-9019"/>
    <s v="SYN-TIN-049"/>
    <x v="4"/>
    <s v="AET001"/>
    <s v="Commercial"/>
    <s v="NA"/>
    <x v="0"/>
    <s v="Completed"/>
    <s v="Approved"/>
    <s v="Not Required"/>
    <s v="Yes"/>
    <s v="Completed"/>
    <d v="2026-05-02T00:00:00"/>
    <d v="2026-05-14T00:00:00"/>
    <x v="2"/>
    <x v="2"/>
    <x v="2"/>
    <d v="2026-06-09T00:00:00"/>
    <s v="Record is ready for expected transaction flow."/>
    <n v="12"/>
    <x v="1"/>
    <s v="NPI Match"/>
    <s v="No"/>
    <s v="No"/>
    <s v="No"/>
    <s v="No"/>
    <x v="2"/>
    <x v="0"/>
    <x v="1"/>
  </r>
  <r>
    <s v="ENR-0222"/>
    <s v="Maple Leaf Urgent Care"/>
    <s v="Dr. Vivek Joshi"/>
    <s v="IND-NPI-1222"/>
    <s v="GRP-NPI-9043"/>
    <s v="GRP-NPI-9043"/>
    <s v="GRP-NPI-9043"/>
    <s v="SYN-TIN-051"/>
    <x v="5"/>
    <s v="HUM001"/>
    <s v="Commercial"/>
    <s v="NA"/>
    <x v="1"/>
    <s v="In Progress"/>
    <s v="Not Started"/>
    <s v="Not Started"/>
    <s v="No"/>
    <s v="Not Started"/>
    <d v="2026-04-14T00:00:00"/>
    <m/>
    <x v="1"/>
    <x v="8"/>
    <x v="3"/>
    <d v="2026-06-04T00:00:00"/>
    <s v="Credentialing must be completed before enrollment can proceed."/>
    <n v="50"/>
    <x v="0"/>
    <s v="NPI Match"/>
    <s v="No"/>
    <s v="No"/>
    <s v="Yes"/>
    <s v="No"/>
    <x v="0"/>
    <x v="1"/>
    <x v="0"/>
  </r>
  <r>
    <s v="ENR-0223"/>
    <s v="Riverside Behavioral Health"/>
    <s v="Dr. Sara Torres"/>
    <s v="IND-NPI-1223"/>
    <s v="GRP-NPI-9015"/>
    <s v="GRP-NPI-9015"/>
    <s v="GRP-NPI-9015"/>
    <s v="SYN-TIN-055"/>
    <x v="5"/>
    <s v="HUM001"/>
    <s v="Commercial"/>
    <s v="NA"/>
    <x v="0"/>
    <s v="Completed"/>
    <s v="Approved"/>
    <s v="Not Required"/>
    <s v="Yes"/>
    <s v="Completed"/>
    <d v="2026-04-01T00:00:00"/>
    <d v="2026-04-15T00:00:00"/>
    <x v="2"/>
    <x v="2"/>
    <x v="1"/>
    <d v="2026-06-13T00:00:00"/>
    <s v="Record is ready for expected transaction flow."/>
    <n v="14"/>
    <x v="1"/>
    <s v="NPI Match"/>
    <s v="No"/>
    <s v="No"/>
    <s v="No"/>
    <s v="No"/>
    <x v="2"/>
    <x v="0"/>
    <x v="1"/>
  </r>
  <r>
    <s v="ENR-0224"/>
    <s v="Sunrise Family Medicine"/>
    <s v="Dr. Amara Das"/>
    <s v="IND-NPI-1224"/>
    <s v="GRP-NPI-9015"/>
    <s v="GRP-NPI-9015"/>
    <s v="GRP-NPI-9015"/>
    <s v="SYN-TIN-054"/>
    <x v="0"/>
    <s v="MCD002"/>
    <s v="Government"/>
    <s v="PTAN-0224"/>
    <x v="1"/>
    <s v="Completed"/>
    <s v="Approved"/>
    <s v="Approved"/>
    <s v="Yes"/>
    <s v="Completed"/>
    <d v="2026-03-04T00:00:00"/>
    <d v="2026-03-22T00:00:00"/>
    <x v="2"/>
    <x v="2"/>
    <x v="0"/>
    <d v="2026-06-04T00:00:00"/>
    <s v="Record is ready for expected transaction flow."/>
    <n v="18"/>
    <x v="1"/>
    <s v="NPI Match"/>
    <s v="No"/>
    <s v="No"/>
    <s v="No"/>
    <s v="No"/>
    <x v="2"/>
    <x v="2"/>
    <x v="1"/>
  </r>
  <r>
    <s v="ENR-0225"/>
    <s v="Parkside Oncology"/>
    <s v="Dr. Neha Patel"/>
    <s v="IND-NPI-1225"/>
    <s v="GRP-NPI-9014"/>
    <s v="GRP-NPI-9014"/>
    <s v="GRP-NPI-9014"/>
    <s v="SYN-TIN-052"/>
    <x v="1"/>
    <s v="MED001"/>
    <s v="Government"/>
    <s v="PTAN-0225"/>
    <x v="0"/>
    <s v="Completed"/>
    <s v="Approved"/>
    <s v="Not Required"/>
    <s v="Yes"/>
    <s v="Completed"/>
    <d v="2026-01-27T00:00:00"/>
    <d v="2026-02-06T00:00:00"/>
    <x v="2"/>
    <x v="2"/>
    <x v="0"/>
    <d v="2026-06-14T00:00:00"/>
    <s v="Record is ready for expected transaction flow."/>
    <n v="10"/>
    <x v="1"/>
    <s v="NPI Match"/>
    <s v="No"/>
    <s v="No"/>
    <s v="No"/>
    <s v="No"/>
    <x v="2"/>
    <x v="0"/>
    <x v="1"/>
  </r>
  <r>
    <s v="ENR-0226"/>
    <s v="Blue Harbor ENT"/>
    <s v="Dr. Lily Rao"/>
    <s v="IND-NPI-1226"/>
    <s v="GRP-NPI-9014"/>
    <s v="GRP-NPI-9014"/>
    <s v="GRP-NPI-9014"/>
    <s v="SYN-TIN-041"/>
    <x v="5"/>
    <s v="HUM001"/>
    <s v="Commercial"/>
    <s v="NA"/>
    <x v="1"/>
    <s v="Completed"/>
    <s v="Approved"/>
    <s v="Approved"/>
    <s v="Yes"/>
    <s v="Completed"/>
    <d v="2026-05-23T00:00:00"/>
    <d v="2026-06-03T00:00:00"/>
    <x v="2"/>
    <x v="2"/>
    <x v="1"/>
    <d v="2026-06-06T00:00:00"/>
    <s v="Record is ready for expected transaction flow."/>
    <n v="11"/>
    <x v="1"/>
    <s v="NPI Match"/>
    <s v="No"/>
    <s v="No"/>
    <s v="No"/>
    <s v="No"/>
    <x v="2"/>
    <x v="2"/>
    <x v="1"/>
  </r>
  <r>
    <s v="ENR-0227"/>
    <s v="Metro Spine Center"/>
    <s v="Dr. Aiden Singh"/>
    <s v="IND-NPI-1227"/>
    <s v="GRP-NPI-9044"/>
    <s v="GRP-NPI-9044"/>
    <s v="GRP-NPI-9044"/>
    <s v="SYN-TIN-029"/>
    <x v="5"/>
    <s v="HUM001"/>
    <s v="Commercial"/>
    <s v="NA"/>
    <x v="2"/>
    <s v="Completed"/>
    <s v="Not Required"/>
    <s v="Pending"/>
    <s v="No"/>
    <s v="Pending"/>
    <d v="2026-02-20T00:00:00"/>
    <m/>
    <x v="1"/>
    <x v="1"/>
    <x v="1"/>
    <d v="2026-06-13T00:00:00"/>
    <s v="Clearinghouse route or portal setup needs update before go-live."/>
    <n v="103"/>
    <x v="0"/>
    <s v="NPI Match"/>
    <s v="No"/>
    <s v="No"/>
    <s v="Yes"/>
    <s v="No"/>
    <x v="1"/>
    <x v="1"/>
    <x v="0"/>
  </r>
  <r>
    <s v="ENR-0228"/>
    <s v="Southview Endocrinology"/>
    <s v="Dr. Farah Khan"/>
    <s v="IND-NPI-1228"/>
    <s v="GRP-NPI-9004"/>
    <s v="GRP-NPI-9004"/>
    <s v="GRP-NPI-9004"/>
    <s v="SYN-TIN-064"/>
    <x v="3"/>
    <s v="UHC001"/>
    <s v="Commercial"/>
    <s v="NA"/>
    <x v="1"/>
    <s v="Completed"/>
    <s v="Pending"/>
    <s v="Pending"/>
    <s v="Yes"/>
    <s v="In Progress"/>
    <d v="2026-02-28T00:00:00"/>
    <m/>
    <x v="1"/>
    <x v="3"/>
    <x v="2"/>
    <d v="2026-06-13T00:00:00"/>
    <s v="Waiting on payer approval or payer response."/>
    <n v="95"/>
    <x v="0"/>
    <s v="NPI Match"/>
    <s v="No"/>
    <s v="No"/>
    <s v="No"/>
    <s v="No"/>
    <x v="0"/>
    <x v="1"/>
    <x v="0"/>
  </r>
  <r>
    <s v="ENR-0229"/>
    <s v="Northside Pediatrics"/>
    <s v="Dr. Nathan Brown"/>
    <s v="IND-NPI-1229"/>
    <s v="GRP-NPI-9043"/>
    <s v="GRP-NPI-9043"/>
    <s v="GRP-NPI-9043"/>
    <s v="SYN-TIN-039"/>
    <x v="4"/>
    <s v="AET001"/>
    <s v="Commercial"/>
    <s v="NA"/>
    <x v="1"/>
    <s v="Completed"/>
    <s v="Approved"/>
    <s v="Pending"/>
    <s v="No"/>
    <s v="Pending"/>
    <d v="2026-05-01T00:00:00"/>
    <m/>
    <x v="1"/>
    <x v="1"/>
    <x v="3"/>
    <d v="2026-06-09T00:00:00"/>
    <s v="Clearinghouse route or portal setup needs update before go-live."/>
    <n v="33"/>
    <x v="0"/>
    <s v="NPI Match"/>
    <s v="No"/>
    <s v="No"/>
    <s v="Yes"/>
    <s v="No"/>
    <x v="0"/>
    <x v="1"/>
    <x v="0"/>
  </r>
  <r>
    <s v="ENR-0230"/>
    <s v="Maple Leaf Urgent Care"/>
    <s v="Dr. Thomas Singh"/>
    <s v="IND-NPI-1230"/>
    <s v="GRP-NPI-9035"/>
    <s v="GRP-NPI-9035"/>
    <s v="GRP-NPI-9035"/>
    <s v="SYN-TIN-053"/>
    <x v="4"/>
    <s v="AET001"/>
    <s v="Commercial"/>
    <s v="NA"/>
    <x v="0"/>
    <s v="Completed"/>
    <s v="Approved"/>
    <s v="Not Required"/>
    <s v="Yes"/>
    <s v="Completed"/>
    <d v="2026-02-20T00:00:00"/>
    <d v="2026-03-11T00:00:00"/>
    <x v="2"/>
    <x v="2"/>
    <x v="0"/>
    <d v="2026-06-10T00:00:00"/>
    <s v="Record is ready for expected transaction flow."/>
    <n v="19"/>
    <x v="1"/>
    <s v="NPI Match"/>
    <s v="No"/>
    <s v="No"/>
    <s v="No"/>
    <s v="No"/>
    <x v="2"/>
    <x v="0"/>
    <x v="1"/>
  </r>
  <r>
    <s v="ENR-0231"/>
    <s v="Southview Endocrinology"/>
    <s v="Dr. Ivy Scott"/>
    <s v="IND-NPI-1231"/>
    <s v="GRP-NPI-9009"/>
    <s v="GRP-NPI-9009"/>
    <s v="GRP-NPI-9009"/>
    <s v="SYN-TIN-025"/>
    <x v="4"/>
    <s v="AET001"/>
    <s v="Commercial"/>
    <s v="NA"/>
    <x v="0"/>
    <s v="Completed"/>
    <s v="Approved"/>
    <s v="Not Required"/>
    <s v="Yes"/>
    <s v="Completed"/>
    <d v="2026-02-04T00:00:00"/>
    <d v="2026-02-18T00:00:00"/>
    <x v="2"/>
    <x v="2"/>
    <x v="0"/>
    <d v="2026-06-08T00:00:00"/>
    <s v="Record is ready for expected transaction flow."/>
    <n v="14"/>
    <x v="1"/>
    <s v="NPI Match"/>
    <s v="No"/>
    <s v="No"/>
    <s v="No"/>
    <s v="No"/>
    <x v="2"/>
    <x v="0"/>
    <x v="1"/>
  </r>
  <r>
    <s v="ENR-0232"/>
    <s v="Northside Pediatrics"/>
    <s v="Dr. Aditya Kapoor"/>
    <s v="IND-NPI-1232"/>
    <s v="GRP-NPI-9044"/>
    <s v="GRP-NPI-9044"/>
    <s v="GRP-NPI-9044"/>
    <s v="SYN-TIN-028"/>
    <x v="3"/>
    <s v="UHC001"/>
    <s v="Commercial"/>
    <s v="NA"/>
    <x v="1"/>
    <s v="Completed"/>
    <s v="Pending"/>
    <s v="Pending"/>
    <s v="Yes"/>
    <s v="In Progress"/>
    <d v="2026-03-04T00:00:00"/>
    <m/>
    <x v="1"/>
    <x v="3"/>
    <x v="1"/>
    <d v="2026-06-12T00:00:00"/>
    <s v="Waiting on payer approval or payer response."/>
    <n v="91"/>
    <x v="0"/>
    <s v="NPI Match"/>
    <s v="No"/>
    <s v="No"/>
    <s v="No"/>
    <s v="No"/>
    <x v="0"/>
    <x v="1"/>
    <x v="0"/>
  </r>
  <r>
    <s v="ENR-0233"/>
    <s v="Valley View Gastro"/>
    <s v="Dr. Omar Carter"/>
    <s v="IND-NPI-1233"/>
    <s v="GRP-NPI-9022"/>
    <s v="GRP-NPI-9022"/>
    <s v="GRP-NPI-9022"/>
    <s v="SYN-TIN-032"/>
    <x v="6"/>
    <s v="BCBS01"/>
    <s v="Commercial"/>
    <s v="NA"/>
    <x v="1"/>
    <s v="Completed"/>
    <s v="Approved"/>
    <s v="Approved"/>
    <s v="Yes"/>
    <s v="Completed"/>
    <d v="2026-03-04T00:00:00"/>
    <d v="2026-03-22T00:00:00"/>
    <x v="2"/>
    <x v="2"/>
    <x v="2"/>
    <d v="2026-06-04T00:00:00"/>
    <s v="Record is ready for expected transaction flow."/>
    <n v="18"/>
    <x v="1"/>
    <s v="NPI Match"/>
    <s v="No"/>
    <s v="No"/>
    <s v="No"/>
    <s v="No"/>
    <x v="2"/>
    <x v="2"/>
    <x v="1"/>
  </r>
  <r>
    <s v="ENR-0234"/>
    <s v="Grand Oak Surgery Center"/>
    <s v="Dr. Aiden Reed"/>
    <s v="IND-NPI-1234"/>
    <s v="GRP-NPI-9014"/>
    <s v="GRP-NPI-9014"/>
    <s v="GRP-NPI-9119"/>
    <s v="SYN-TIN-046"/>
    <x v="4"/>
    <s v="AET001"/>
    <s v="Commercial"/>
    <s v="NA"/>
    <x v="1"/>
    <s v="Completed"/>
    <s v="Rejected"/>
    <s v="Rejected"/>
    <s v="Yes"/>
    <s v="Issue Found"/>
    <d v="2026-04-22T00:00:00"/>
    <m/>
    <x v="0"/>
    <x v="7"/>
    <x v="1"/>
    <d v="2026-06-10T00:00:00"/>
    <s v="Enrolled NPI does not match the payer-credentialed NPI."/>
    <n v="42"/>
    <x v="0"/>
    <s v="NPI Mismatch"/>
    <s v="Yes"/>
    <s v="No"/>
    <s v="No"/>
    <s v="No"/>
    <x v="0"/>
    <x v="1"/>
    <x v="0"/>
  </r>
  <r>
    <s v="ENR-0235"/>
    <s v="Summit Eye Care"/>
    <s v="Dr. Hannah Gray"/>
    <s v="IND-NPI-1235"/>
    <s v="GRP-NPI-9033"/>
    <s v="GRP-NPI-9033"/>
    <s v="GRP-NPI-9033"/>
    <s v="SYN-TIN-041"/>
    <x v="4"/>
    <s v="WRONG-AET"/>
    <s v="Commercial"/>
    <s v="NA"/>
    <x v="1"/>
    <s v="Completed"/>
    <s v="Rejected"/>
    <s v="Rejected"/>
    <s v="Yes"/>
    <s v="Issue Found"/>
    <d v="2026-04-06T00:00:00"/>
    <m/>
    <x v="0"/>
    <x v="0"/>
    <x v="4"/>
    <d v="2026-06-06T00:00:00"/>
    <s v="Incorrect payer ID was used for enrollment or routing."/>
    <n v="58"/>
    <x v="0"/>
    <s v="NPI Match"/>
    <s v="No"/>
    <s v="Yes"/>
    <s v="No"/>
    <s v="No"/>
    <x v="0"/>
    <x v="1"/>
    <x v="0"/>
  </r>
  <r>
    <s v="ENR-0236"/>
    <s v="Southview Endocrinology"/>
    <s v="Dr. Daniel Miller"/>
    <s v="IND-NPI-1236"/>
    <s v="GRP-NPI-9015"/>
    <s v="GRP-NPI-9015"/>
    <s v="GRP-NPI-9015"/>
    <s v="SYN-TIN-043"/>
    <x v="2"/>
    <s v="CIG001"/>
    <s v="Commercial"/>
    <s v="NA"/>
    <x v="0"/>
    <s v="Completed"/>
    <s v="Approved"/>
    <s v="Not Required"/>
    <s v="Yes"/>
    <s v="Completed"/>
    <d v="2026-05-01T00:00:00"/>
    <d v="2026-05-12T00:00:00"/>
    <x v="2"/>
    <x v="2"/>
    <x v="3"/>
    <d v="2026-06-05T00:00:00"/>
    <s v="Record is ready for expected transaction flow."/>
    <n v="11"/>
    <x v="1"/>
    <s v="NPI Match"/>
    <s v="No"/>
    <s v="No"/>
    <s v="No"/>
    <s v="No"/>
    <x v="2"/>
    <x v="0"/>
    <x v="1"/>
  </r>
  <r>
    <s v="ENR-0237"/>
    <s v="Oak Street Primary Care"/>
    <s v="Dr. Amara Miller"/>
    <s v="IND-NPI-1237"/>
    <s v="GRP-NPI-9016"/>
    <s v="GRP-NPI-9016"/>
    <s v="GRP-NPI-9016"/>
    <s v="SYN-TIN-063"/>
    <x v="4"/>
    <s v="AET001"/>
    <s v="Commercial"/>
    <s v="NA"/>
    <x v="1"/>
    <s v="Completed"/>
    <s v="Approved"/>
    <s v="Pending"/>
    <s v="Yes"/>
    <s v="In Progress"/>
    <d v="2026-04-11T00:00:00"/>
    <m/>
    <x v="1"/>
    <x v="4"/>
    <x v="2"/>
    <d v="2026-06-07T00:00:00"/>
    <s v="ERA enrollment or routing is not fully completed."/>
    <n v="53"/>
    <x v="0"/>
    <s v="NPI Match"/>
    <s v="No"/>
    <s v="No"/>
    <s v="No"/>
    <s v="No"/>
    <x v="0"/>
    <x v="1"/>
    <x v="0"/>
  </r>
  <r>
    <s v="ENR-0238"/>
    <s v="Blue Harbor ENT"/>
    <s v="Dr. Kavya Torres"/>
    <s v="IND-NPI-1238"/>
    <s v="GRP-NPI-9023"/>
    <s v="GRP-NPI-9023"/>
    <s v="GRP-NPI-9023"/>
    <s v="SYN-TIN-005"/>
    <x v="0"/>
    <s v="MCD002"/>
    <s v="Government"/>
    <s v="PTAN-OLD"/>
    <x v="0"/>
    <s v="Completed"/>
    <s v="Rejected"/>
    <s v="Not Required"/>
    <s v="Yes"/>
    <s v="Issue Found"/>
    <d v="2026-06-02T00:00:00"/>
    <m/>
    <x v="0"/>
    <x v="6"/>
    <x v="0"/>
    <d v="2026-06-13T00:00:00"/>
    <s v="PTAN or government payer provider number needs correction."/>
    <n v="1"/>
    <x v="2"/>
    <s v="NPI Match"/>
    <s v="Yes"/>
    <s v="No"/>
    <s v="No"/>
    <s v="Yes"/>
    <x v="0"/>
    <x v="0"/>
    <x v="0"/>
  </r>
  <r>
    <s v="ENR-0239"/>
    <s v="Evergreen Urology"/>
    <s v="Dr. Mark Das"/>
    <s v="IND-NPI-1239"/>
    <s v="GRP-NPI-9043"/>
    <s v="GRP-NPI-9043"/>
    <s v="IND-NPI-1239"/>
    <s v="SYN-TIN-002"/>
    <x v="1"/>
    <s v="MED001"/>
    <s v="Government"/>
    <s v="PTAN-0239"/>
    <x v="1"/>
    <s v="Completed"/>
    <s v="Rejected"/>
    <s v="Rejected"/>
    <s v="Yes"/>
    <s v="Issue Found"/>
    <d v="2026-03-15T00:00:00"/>
    <m/>
    <x v="0"/>
    <x v="9"/>
    <x v="3"/>
    <d v="2026-06-04T00:00:00"/>
    <s v="Enrollment was submitted under individual NPI instead of group billing NPI."/>
    <n v="80"/>
    <x v="0"/>
    <s v="NPI Mismatch"/>
    <s v="Yes"/>
    <s v="No"/>
    <s v="No"/>
    <s v="No"/>
    <x v="0"/>
    <x v="1"/>
    <x v="0"/>
  </r>
  <r>
    <s v="ENR-0240"/>
    <s v="Cedar Grove Clinic"/>
    <s v="Dr. Owen Morgan"/>
    <s v="IND-NPI-1240"/>
    <s v="GRP-NPI-9024"/>
    <s v="GRP-NPI-9024"/>
    <s v="GRP-NPI-9024"/>
    <s v="SYN-TIN-003"/>
    <x v="1"/>
    <s v="MED001"/>
    <s v="Government"/>
    <s v="PTAN-0240"/>
    <x v="1"/>
    <s v="In Progress"/>
    <s v="Not Started"/>
    <s v="Not Started"/>
    <s v="No"/>
    <s v="Not Started"/>
    <d v="2026-05-18T00:00:00"/>
    <m/>
    <x v="1"/>
    <x v="8"/>
    <x v="2"/>
    <d v="2026-06-13T00:00:00"/>
    <s v="Credentialing must be completed before enrollment can proceed."/>
    <n v="16"/>
    <x v="2"/>
    <s v="NPI Match"/>
    <s v="No"/>
    <s v="No"/>
    <s v="Yes"/>
    <s v="No"/>
    <x v="0"/>
    <x v="1"/>
    <x v="0"/>
  </r>
  <r>
    <s v="ENR-0241"/>
    <s v="River Valley Family Care"/>
    <s v="Dr. Samir Rao"/>
    <s v="IND-NPI-1241"/>
    <s v="GRP-NPI-9027"/>
    <s v="GRP-NPI-9027"/>
    <s v="GRP-NPI-9027"/>
    <s v="SYN-TIN-023"/>
    <x v="1"/>
    <s v="WRONG-MED"/>
    <s v="Government"/>
    <s v="PTAN-0241"/>
    <x v="0"/>
    <s v="Completed"/>
    <s v="Rejected"/>
    <s v="Not Required"/>
    <s v="Yes"/>
    <s v="Issue Found"/>
    <d v="2026-01-19T00:00:00"/>
    <m/>
    <x v="0"/>
    <x v="0"/>
    <x v="2"/>
    <d v="2026-06-11T00:00:00"/>
    <s v="Incorrect payer ID was used for enrollment or routing."/>
    <n v="135"/>
    <x v="0"/>
    <s v="NPI Match"/>
    <s v="No"/>
    <s v="Yes"/>
    <s v="No"/>
    <s v="No"/>
    <x v="0"/>
    <x v="0"/>
    <x v="0"/>
  </r>
  <r>
    <s v="ENR-0242"/>
    <s v="Lakeside Women Health"/>
    <s v="Dr. Emily Scott"/>
    <s v="IND-NPI-1242"/>
    <s v="GRP-NPI-9010"/>
    <s v="GRP-NPI-9010"/>
    <s v="GRP-NPI-9123"/>
    <s v="SYN-TIN-048"/>
    <x v="0"/>
    <s v="MCD002"/>
    <s v="Government"/>
    <s v="PTAN-0242"/>
    <x v="0"/>
    <s v="Completed"/>
    <s v="Rejected"/>
    <s v="Not Required"/>
    <s v="Yes"/>
    <s v="Issue Found"/>
    <d v="2026-03-24T00:00:00"/>
    <m/>
    <x v="0"/>
    <x v="7"/>
    <x v="0"/>
    <d v="2026-06-09T00:00:00"/>
    <s v="Enrolled NPI does not match the payer-credentialed NPI."/>
    <n v="71"/>
    <x v="0"/>
    <s v="NPI Mismatch"/>
    <s v="Yes"/>
    <s v="No"/>
    <s v="No"/>
    <s v="No"/>
    <x v="0"/>
    <x v="0"/>
    <x v="0"/>
  </r>
  <r>
    <s v="ENR-0243"/>
    <s v="Maple Leaf Urgent Care"/>
    <s v="Dr. Aria Miller"/>
    <s v="IND-NPI-1243"/>
    <s v="GRP-NPI-9016"/>
    <s v="GRP-NPI-9016"/>
    <s v="GRP-NPI-9016"/>
    <s v="SYN-TIN-012"/>
    <x v="2"/>
    <s v="CIG001"/>
    <s v="Commercial"/>
    <s v="NA"/>
    <x v="0"/>
    <s v="In Progress"/>
    <s v="Not Started"/>
    <s v="Not Required"/>
    <s v="No"/>
    <s v="Not Started"/>
    <d v="2026-02-04T00:00:00"/>
    <m/>
    <x v="1"/>
    <x v="8"/>
    <x v="0"/>
    <d v="2026-06-13T00:00:00"/>
    <s v="Credentialing must be completed before enrollment can proceed."/>
    <n v="119"/>
    <x v="0"/>
    <s v="NPI Match"/>
    <s v="No"/>
    <s v="No"/>
    <s v="Yes"/>
    <s v="No"/>
    <x v="0"/>
    <x v="0"/>
    <x v="0"/>
  </r>
  <r>
    <s v="ENR-0244"/>
    <s v="Maple Leaf Urgent Care"/>
    <s v="Dr. Amara Kapoor"/>
    <s v="IND-NPI-1244"/>
    <s v="GRP-NPI-9036"/>
    <s v="GRP-NPI-9036"/>
    <s v="GRP-NPI-9036"/>
    <s v="SYN-TIN-043"/>
    <x v="4"/>
    <s v="AET001"/>
    <s v="Commercial"/>
    <s v="NA"/>
    <x v="0"/>
    <s v="Completed"/>
    <s v="Approved"/>
    <s v="Not Required"/>
    <s v="Yes"/>
    <s v="Completed"/>
    <d v="2026-02-27T00:00:00"/>
    <d v="2026-03-07T00:00:00"/>
    <x v="2"/>
    <x v="2"/>
    <x v="2"/>
    <d v="2026-06-10T00:00:00"/>
    <s v="Record is ready for expected transaction flow."/>
    <n v="8"/>
    <x v="1"/>
    <s v="NPI Match"/>
    <s v="No"/>
    <s v="No"/>
    <s v="No"/>
    <s v="No"/>
    <x v="2"/>
    <x v="0"/>
    <x v="1"/>
  </r>
  <r>
    <s v="ENR-0245"/>
    <s v="Metro Spine Center"/>
    <s v="Dr. Emily Nguyen"/>
    <s v="IND-NPI-1245"/>
    <s v="GRP-NPI-9034"/>
    <s v="GRP-NPI-9034"/>
    <s v="GRP-NPI-9034"/>
    <s v="SYN-TIN-010"/>
    <x v="1"/>
    <s v="MED001"/>
    <s v="Government"/>
    <s v="PTAN-0245"/>
    <x v="0"/>
    <s v="Completed"/>
    <s v="Approved"/>
    <s v="Not Required"/>
    <s v="Yes"/>
    <s v="In Progress"/>
    <d v="2026-05-16T00:00:00"/>
    <m/>
    <x v="1"/>
    <x v="4"/>
    <x v="0"/>
    <d v="2026-06-07T00:00:00"/>
    <s v="ERA enrollment or routing is not fully completed."/>
    <n v="18"/>
    <x v="2"/>
    <s v="NPI Match"/>
    <s v="No"/>
    <s v="No"/>
    <s v="No"/>
    <s v="No"/>
    <x v="0"/>
    <x v="0"/>
    <x v="0"/>
  </r>
  <r>
    <s v="ENR-0246"/>
    <s v="Coral Springs Primary Care"/>
    <s v="Dr. Aditya Nguyen"/>
    <s v="IND-NPI-1246"/>
    <s v="GRP-NPI-9035"/>
    <s v="GRP-NPI-9035"/>
    <s v="GRP-NPI-9035"/>
    <s v="SYN-TIN-019"/>
    <x v="3"/>
    <s v="UHC001"/>
    <s v="Commercial"/>
    <s v="NA"/>
    <x v="1"/>
    <s v="Completed"/>
    <s v="Approved"/>
    <s v="Approved"/>
    <s v="Yes"/>
    <s v="Completed"/>
    <d v="2026-04-05T00:00:00"/>
    <d v="2026-04-12T00:00:00"/>
    <x v="2"/>
    <x v="2"/>
    <x v="1"/>
    <d v="2026-06-06T00:00:00"/>
    <s v="Record is ready for expected transaction flow."/>
    <n v="7"/>
    <x v="1"/>
    <s v="NPI Match"/>
    <s v="No"/>
    <s v="No"/>
    <s v="No"/>
    <s v="No"/>
    <x v="2"/>
    <x v="2"/>
    <x v="1"/>
  </r>
  <r>
    <s v="ENR-0247"/>
    <s v="Clearwater Pulmonary"/>
    <s v="Dr. Noah Bennett"/>
    <s v="IND-NPI-1247"/>
    <s v="GRP-NPI-9005"/>
    <s v="GRP-NPI-9005"/>
    <s v="GRP-NPI-9005"/>
    <s v="SYN-TIN-050"/>
    <x v="6"/>
    <s v="BCBS01"/>
    <s v="Commercial"/>
    <s v="NA"/>
    <x v="0"/>
    <s v="Completed"/>
    <s v="Approved"/>
    <s v="Not Required"/>
    <s v="Yes"/>
    <s v="Completed"/>
    <d v="2026-04-24T00:00:00"/>
    <d v="2026-05-11T00:00:00"/>
    <x v="2"/>
    <x v="2"/>
    <x v="4"/>
    <d v="2026-06-11T00:00:00"/>
    <s v="Record is ready for expected transaction flow."/>
    <n v="17"/>
    <x v="1"/>
    <s v="NPI Match"/>
    <s v="No"/>
    <s v="No"/>
    <s v="No"/>
    <s v="No"/>
    <x v="2"/>
    <x v="0"/>
    <x v="1"/>
  </r>
  <r>
    <s v="ENR-0248"/>
    <s v="Clearwater Pulmonary"/>
    <s v="Dr. Sara Rivera"/>
    <s v="IND-NPI-1248"/>
    <s v="GRP-NPI-9045"/>
    <s v="GRP-NPI-9045"/>
    <s v="GRP-NPI-9045"/>
    <s v="SYN-TIN-030"/>
    <x v="2"/>
    <s v="WRONG-CIG"/>
    <s v="Commercial"/>
    <s v="NA"/>
    <x v="0"/>
    <s v="Completed"/>
    <s v="Rejected"/>
    <s v="Not Required"/>
    <s v="Yes"/>
    <s v="Issue Found"/>
    <d v="2026-01-28T00:00:00"/>
    <m/>
    <x v="0"/>
    <x v="0"/>
    <x v="2"/>
    <d v="2026-06-04T00:00:00"/>
    <s v="Incorrect payer ID was used for enrollment or routing."/>
    <n v="126"/>
    <x v="0"/>
    <s v="NPI Match"/>
    <s v="No"/>
    <s v="Yes"/>
    <s v="No"/>
    <s v="No"/>
    <x v="0"/>
    <x v="0"/>
    <x v="0"/>
  </r>
  <r>
    <s v="ENR-0249"/>
    <s v="Evergreen Urology"/>
    <s v="Dr. Mark Iyer"/>
    <s v="IND-NPI-1249"/>
    <s v="GRP-NPI-9039"/>
    <s v="GRP-NPI-9039"/>
    <s v="GRP-NPI-9121"/>
    <s v="SYN-TIN-058"/>
    <x v="5"/>
    <s v="HUM001"/>
    <s v="Commercial"/>
    <s v="NA"/>
    <x v="1"/>
    <s v="Completed"/>
    <s v="Rejected"/>
    <s v="Rejected"/>
    <s v="Yes"/>
    <s v="Issue Found"/>
    <d v="2026-01-22T00:00:00"/>
    <m/>
    <x v="0"/>
    <x v="7"/>
    <x v="4"/>
    <d v="2026-06-13T00:00:00"/>
    <s v="Enrolled NPI does not match the payer-credentialed NPI."/>
    <n v="132"/>
    <x v="0"/>
    <s v="NPI Mismatch"/>
    <s v="Yes"/>
    <s v="No"/>
    <s v="No"/>
    <s v="No"/>
    <x v="0"/>
    <x v="1"/>
    <x v="0"/>
  </r>
  <r>
    <s v="ENR-0250"/>
    <s v="Valley View Gastro"/>
    <s v="Dr. Lily Gray"/>
    <s v="IND-NPI-1250"/>
    <s v="GRP-NPI-9036"/>
    <s v="GRP-NPI-9036"/>
    <s v="GRP-NPI-9036"/>
    <s v="SYN-TIN-038"/>
    <x v="4"/>
    <s v="AET001"/>
    <s v="Commercial"/>
    <s v="NA"/>
    <x v="2"/>
    <s v="In Progress"/>
    <s v="Not Required"/>
    <s v="Not Started"/>
    <s v="No"/>
    <s v="Not Started"/>
    <d v="2026-04-22T00:00:00"/>
    <m/>
    <x v="1"/>
    <x v="8"/>
    <x v="1"/>
    <d v="2026-06-04T00:00:00"/>
    <s v="Credentialing must be completed before enrollment can proceed."/>
    <n v="42"/>
    <x v="0"/>
    <s v="NPI Match"/>
    <s v="No"/>
    <s v="No"/>
    <s v="Yes"/>
    <s v="No"/>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rowHeaderCaption="Assignee" colHeaderCaption="Current Satus">
  <location ref="A26:D33" firstHeaderRow="1" firstDataRow="2" firstDataCol="1" rowPageCount="1" colPageCount="1"/>
  <pivotFields count="35">
    <pivotField dataField="1" showAll="0" defaultSubtota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pivotField showAll="0" defaultSubtotal="0"/>
    <pivotField showAll="0"/>
    <pivotField showAll="0" defaultSubtotal="0"/>
    <pivotField showAll="0" defaultSubtotal="0"/>
    <pivotField numFmtId="14" showAll="0"/>
    <pivotField showAll="0"/>
    <pivotField axis="axisCol" showAll="0">
      <items count="4">
        <item x="0"/>
        <item x="1"/>
        <item x="2"/>
        <item t="default"/>
      </items>
    </pivotField>
    <pivotField showAll="0" defaultSubtotal="0"/>
    <pivotField axis="axisRow" showAll="0" sortType="ascending">
      <items count="9">
        <item m="1" x="7"/>
        <item m="1" x="6"/>
        <item m="1" x="5"/>
        <item x="0"/>
        <item x="1"/>
        <item x="2"/>
        <item x="3"/>
        <item x="4"/>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showAll="0"/>
    <pivotField showAll="0"/>
    <pivotField showAll="0"/>
    <pivotField axis="axisPage" showAll="0" defaultSubtotal="0">
      <items count="2">
        <item x="1"/>
        <item x="0"/>
      </items>
    </pivotField>
  </pivotFields>
  <rowFields count="1">
    <field x="22"/>
  </rowFields>
  <rowItems count="6">
    <i>
      <x v="7"/>
    </i>
    <i>
      <x v="6"/>
    </i>
    <i>
      <x v="4"/>
    </i>
    <i>
      <x v="5"/>
    </i>
    <i>
      <x v="3"/>
    </i>
    <i t="grand">
      <x/>
    </i>
  </rowItems>
  <colFields count="1">
    <field x="20"/>
  </colFields>
  <colItems count="3">
    <i>
      <x/>
    </i>
    <i>
      <x v="1"/>
    </i>
    <i t="grand">
      <x/>
    </i>
  </colItems>
  <pageFields count="1">
    <pageField fld="34" item="1" hier="-1"/>
  </pageFields>
  <dataFields count="1">
    <dataField name="Count of Record ID" fld="0" subtotal="count" baseField="0" baseItem="0"/>
  </dataFields>
  <chartFormats count="8">
    <chartFormat chart="12" format="0" series="1">
      <pivotArea type="data" outline="0" fieldPosition="0">
        <references count="2">
          <reference field="4294967294" count="1" selected="0">
            <x v="0"/>
          </reference>
          <reference field="20" count="1" selected="0">
            <x v="0"/>
          </reference>
        </references>
      </pivotArea>
    </chartFormat>
    <chartFormat chart="12" format="1" series="1">
      <pivotArea type="data" outline="0" fieldPosition="0">
        <references count="2">
          <reference field="4294967294" count="1" selected="0">
            <x v="0"/>
          </reference>
          <reference field="20" count="1" selected="0">
            <x v="1"/>
          </reference>
        </references>
      </pivotArea>
    </chartFormat>
    <chartFormat chart="13" format="2" series="1">
      <pivotArea type="data" outline="0" fieldPosition="0">
        <references count="2">
          <reference field="4294967294" count="1" selected="0">
            <x v="0"/>
          </reference>
          <reference field="20" count="1" selected="0">
            <x v="0"/>
          </reference>
        </references>
      </pivotArea>
    </chartFormat>
    <chartFormat chart="13" format="3" series="1">
      <pivotArea type="data" outline="0" fieldPosition="0">
        <references count="2">
          <reference field="4294967294" count="1" selected="0">
            <x v="0"/>
          </reference>
          <reference field="20" count="1" selected="0">
            <x v="1"/>
          </reference>
        </references>
      </pivotArea>
    </chartFormat>
    <chartFormat chart="14" format="4" series="1">
      <pivotArea type="data" outline="0" fieldPosition="0">
        <references count="2">
          <reference field="4294967294" count="1" selected="0">
            <x v="0"/>
          </reference>
          <reference field="20" count="1" selected="0">
            <x v="0"/>
          </reference>
        </references>
      </pivotArea>
    </chartFormat>
    <chartFormat chart="14" format="5" series="1">
      <pivotArea type="data" outline="0" fieldPosition="0">
        <references count="2">
          <reference field="4294967294" count="1" selected="0">
            <x v="0"/>
          </reference>
          <reference field="20" count="1" selected="0">
            <x v="1"/>
          </reference>
        </references>
      </pivotArea>
    </chartFormat>
    <chartFormat chart="9" format="6" series="1">
      <pivotArea type="data" outline="0" fieldPosition="0">
        <references count="2">
          <reference field="4294967294" count="1" selected="0">
            <x v="0"/>
          </reference>
          <reference field="20" count="1" selected="0">
            <x v="0"/>
          </reference>
        </references>
      </pivotArea>
    </chartFormat>
    <chartFormat chart="9" format="7" series="1">
      <pivotArea type="data" outline="0" fieldPosition="0">
        <references count="2">
          <reference field="4294967294" count="1" selected="0">
            <x v="0"/>
          </reference>
          <reference field="20"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Claims status">
  <location ref="J10:K12" firstHeaderRow="1" firstDataRow="1" firstDataCol="1"/>
  <pivotFields count="35">
    <pivotField dataField="1" showAll="0" defaultSubtota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pivotField showAll="0" defaultSubtotal="0"/>
    <pivotField showAll="0"/>
    <pivotField showAll="0" defaultSubtotal="0"/>
    <pivotField showAll="0" defaultSubtotal="0"/>
    <pivotField numFmtId="14" showAll="0"/>
    <pivotField showAll="0"/>
    <pivotField showAll="0"/>
    <pivotField showAll="0" defaultSubtotal="0"/>
    <pivotField showAll="0"/>
    <pivotField numFmtId="14" showAll="0"/>
    <pivotField showAll="0"/>
    <pivotField showAll="0"/>
    <pivotField showAll="0"/>
    <pivotField showAll="0"/>
    <pivotField showAll="0"/>
    <pivotField showAll="0"/>
    <pivotField showAll="0"/>
    <pivotField showAll="0"/>
    <pivotField axis="axisRow" showAll="0">
      <items count="4">
        <item h="1" x="1"/>
        <item h="1" x="0"/>
        <item x="2"/>
        <item t="default"/>
      </items>
    </pivotField>
    <pivotField showAll="0"/>
    <pivotField showAll="0"/>
  </pivotFields>
  <rowFields count="1">
    <field x="32"/>
  </rowFields>
  <rowItems count="2">
    <i>
      <x v="2"/>
    </i>
    <i t="grand">
      <x/>
    </i>
  </rowItems>
  <colItems count="1">
    <i/>
  </colItems>
  <dataFields count="1">
    <dataField name="Count of Record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9:B15" firstHeaderRow="1" firstDataRow="1" firstDataCol="1" rowPageCount="1" colPageCount="1"/>
  <pivotFields count="35">
    <pivotField dataField="1" showAll="0" defaultSubtota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pivotField showAll="0" defaultSubtotal="0"/>
    <pivotField showAll="0"/>
    <pivotField showAll="0" defaultSubtotal="0"/>
    <pivotField showAll="0" defaultSubtotal="0"/>
    <pivotField numFmtId="14" showAll="0"/>
    <pivotField showAll="0"/>
    <pivotField showAll="0"/>
    <pivotField axis="axisRow" showAll="0" measureFilter="1" sortType="ascending" defaultSubtotal="0">
      <items count="12">
        <item x="1"/>
        <item x="7"/>
        <item x="8"/>
        <item x="4"/>
        <item x="6"/>
        <item x="9"/>
        <item x="11"/>
        <item x="5"/>
        <item x="3"/>
        <item x="2"/>
        <item x="10"/>
        <item x="0"/>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showAll="0"/>
    <pivotField showAll="0"/>
    <pivotField axis="axisPage" showAll="0" defaultSubtotal="0">
      <items count="2">
        <item x="1"/>
        <item x="0"/>
      </items>
    </pivotField>
  </pivotFields>
  <rowFields count="1">
    <field x="21"/>
  </rowFields>
  <rowItems count="6">
    <i>
      <x v="2"/>
    </i>
    <i>
      <x v="11"/>
    </i>
    <i>
      <x v="1"/>
    </i>
    <i>
      <x v="5"/>
    </i>
    <i>
      <x/>
    </i>
    <i t="grand">
      <x/>
    </i>
  </rowItems>
  <colItems count="1">
    <i/>
  </colItems>
  <pageFields count="1">
    <pageField fld="34" item="1" hier="-1"/>
  </pageFields>
  <dataFields count="1">
    <dataField name="Count of Record ID" fld="0" subtotal="count" baseField="0" baseItem="0"/>
  </dataFields>
  <chartFormats count="2">
    <chartFormat chart="1"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2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rowHeaderCaption="Current Status">
  <location ref="A2:B6" firstHeaderRow="1" firstDataRow="1" firstDataCol="1"/>
  <pivotFields count="35">
    <pivotField dataField="1" showAll="0" defaultSubtota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pivotField showAll="0" defaultSubtotal="0"/>
    <pivotField showAll="0"/>
    <pivotField showAll="0" defaultSubtotal="0"/>
    <pivotField showAll="0" defaultSubtotal="0"/>
    <pivotField numFmtId="14" showAll="0"/>
    <pivotField showAll="0"/>
    <pivotField axis="axisRow" showAll="0">
      <items count="4">
        <item x="0"/>
        <item x="1"/>
        <item x="2"/>
        <item t="default"/>
      </items>
    </pivotField>
    <pivotField showAll="0" defaultSubtotal="0"/>
    <pivotField showAll="0"/>
    <pivotField numFmtId="14"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20"/>
  </rowFields>
  <rowItems count="4">
    <i>
      <x/>
    </i>
    <i>
      <x v="1"/>
    </i>
    <i>
      <x v="2"/>
    </i>
    <i t="grand">
      <x/>
    </i>
  </rowItems>
  <colItems count="1">
    <i/>
  </colItems>
  <dataFields count="1">
    <dataField name="Count of Record ID" fld="0" subtotal="count" baseField="0" baseItem="0"/>
  </dataFields>
  <chartFormats count="4">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20" count="1" selected="0">
            <x v="0"/>
          </reference>
        </references>
      </pivotArea>
    </chartFormat>
    <chartFormat chart="5" format="11">
      <pivotArea type="data" outline="0" fieldPosition="0">
        <references count="2">
          <reference field="4294967294" count="1" selected="0">
            <x v="0"/>
          </reference>
          <reference field="20" count="1" selected="0">
            <x v="1"/>
          </reference>
        </references>
      </pivotArea>
    </chartFormat>
    <chartFormat chart="5" format="12">
      <pivotArea type="data" outline="0" fieldPosition="0">
        <references count="2">
          <reference field="4294967294" count="1" selected="0">
            <x v="0"/>
          </reference>
          <reference field="20"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D14:F23" firstHeaderRow="1" firstDataRow="2" firstDataCol="1"/>
  <pivotFields count="35">
    <pivotField dataField="1" showAll="0" defaultSubtotal="0"/>
    <pivotField showAll="0"/>
    <pivotField showAll="0"/>
    <pivotField showAll="0"/>
    <pivotField showAll="0"/>
    <pivotField showAll="0"/>
    <pivotField showAll="0"/>
    <pivotField showAll="0"/>
    <pivotField axis="axisRow" showAll="0" sortType="ascending">
      <items count="9">
        <item x="4"/>
        <item x="6"/>
        <item x="2"/>
        <item x="5"/>
        <item x="0"/>
        <item x="1"/>
        <item m="1" x="7"/>
        <item x="3"/>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pivotField showAll="0"/>
    <pivotField showAll="0" defaultSubtotal="0"/>
    <pivotField showAll="0"/>
    <pivotField showAll="0" defaultSubtotal="0"/>
    <pivotField showAll="0" defaultSubtotal="0"/>
    <pivotField numFmtId="14" showAll="0"/>
    <pivotField showAll="0"/>
    <pivotField showAll="0"/>
    <pivotField showAll="0" defaultSubtotal="0"/>
    <pivotField showAll="0"/>
    <pivotField numFmtId="14" showAll="0"/>
    <pivotField showAll="0"/>
    <pivotField showAll="0"/>
    <pivotField axis="axisCol" showAll="0">
      <items count="4">
        <item h="1" x="1"/>
        <item x="0"/>
        <item h="1" x="2"/>
        <item t="default"/>
      </items>
    </pivotField>
    <pivotField showAll="0"/>
    <pivotField showAll="0"/>
    <pivotField showAll="0"/>
    <pivotField showAll="0"/>
    <pivotField showAll="0"/>
    <pivotField showAll="0"/>
    <pivotField showAll="0"/>
    <pivotField showAll="0" defaultSubtotal="0"/>
  </pivotFields>
  <rowFields count="1">
    <field x="8"/>
  </rowFields>
  <rowItems count="8">
    <i>
      <x v="4"/>
    </i>
    <i>
      <x v="1"/>
    </i>
    <i>
      <x v="5"/>
    </i>
    <i>
      <x/>
    </i>
    <i>
      <x v="7"/>
    </i>
    <i>
      <x v="2"/>
    </i>
    <i>
      <x v="3"/>
    </i>
    <i t="grand">
      <x/>
    </i>
  </rowItems>
  <colFields count="1">
    <field x="26"/>
  </colFields>
  <colItems count="2">
    <i>
      <x v="1"/>
    </i>
    <i t="grand">
      <x/>
    </i>
  </colItems>
  <dataFields count="1">
    <dataField name="Count of Record ID" fld="0" subtotal="count" baseField="0" baseItem="0"/>
  </dataFields>
  <chartFormats count="2">
    <chartFormat chart="11" format="0" series="1">
      <pivotArea type="data" outline="0" fieldPosition="0">
        <references count="2">
          <reference field="4294967294" count="1" selected="0">
            <x v="0"/>
          </reference>
          <reference field="26" count="1" selected="0">
            <x v="1"/>
          </reference>
        </references>
      </pivotArea>
    </chartFormat>
    <chartFormat chart="8" format="3" series="1">
      <pivotArea type="data" outline="0" fieldPosition="0">
        <references count="2">
          <reference field="4294967294" count="1" selected="0">
            <x v="0"/>
          </reference>
          <reference field="26"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2:N7" firstHeaderRow="1" firstDataRow="2" firstDataCol="1"/>
  <pivotFields count="35">
    <pivotField dataField="1" showAll="0" defaultSubtotal="0"/>
    <pivotField showAll="0"/>
    <pivotField showAll="0"/>
    <pivotField showAll="0"/>
    <pivotField showAll="0"/>
    <pivotField showAll="0"/>
    <pivotField showAll="0"/>
    <pivotField showAll="0"/>
    <pivotField showAll="0"/>
    <pivotField showAll="0"/>
    <pivotField showAll="0"/>
    <pivotField showAll="0" defaultSubtotal="0"/>
    <pivotField axis="axisRow" showAll="0" defaultSubtotal="0">
      <items count="3">
        <item x="0"/>
        <item x="1"/>
        <item x="2"/>
      </items>
    </pivotField>
    <pivotField showAll="0"/>
    <pivotField showAll="0" defaultSubtotal="0"/>
    <pivotField showAll="0"/>
    <pivotField showAll="0" defaultSubtotal="0"/>
    <pivotField showAll="0" defaultSubtotal="0"/>
    <pivotField numFmtId="14" showAll="0"/>
    <pivotField showAll="0"/>
    <pivotField axis="axisCol" showAll="0">
      <items count="4">
        <item x="0"/>
        <item x="1"/>
        <item x="2"/>
        <item t="default"/>
      </items>
    </pivotField>
    <pivotField showAll="0" defaultSubtota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4">
    <i>
      <x/>
    </i>
    <i>
      <x v="1"/>
    </i>
    <i>
      <x v="2"/>
    </i>
    <i t="grand">
      <x/>
    </i>
  </rowItems>
  <colFields count="1">
    <field x="20"/>
  </colFields>
  <colItems count="4">
    <i>
      <x/>
    </i>
    <i>
      <x v="1"/>
    </i>
    <i>
      <x v="2"/>
    </i>
    <i t="grand">
      <x/>
    </i>
  </colItems>
  <dataFields count="1">
    <dataField name="Count of Record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ERA Status">
  <location ref="J15:K17" firstHeaderRow="1" firstDataRow="1" firstDataCol="1"/>
  <pivotFields count="35">
    <pivotField dataField="1" showAll="0" defaultSubtota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pivotField showAll="0" defaultSubtotal="0"/>
    <pivotField showAll="0"/>
    <pivotField showAll="0" defaultSubtotal="0"/>
    <pivotField showAll="0" defaultSubtotal="0"/>
    <pivotField numFmtId="14" showAll="0"/>
    <pivotField showAll="0"/>
    <pivotField showAll="0"/>
    <pivotField showAll="0" defaultSubtotal="0"/>
    <pivotField showAll="0"/>
    <pivotField numFmtId="14" showAll="0"/>
    <pivotField showAll="0"/>
    <pivotField showAll="0"/>
    <pivotField showAll="0"/>
    <pivotField showAll="0"/>
    <pivotField showAll="0"/>
    <pivotField showAll="0"/>
    <pivotField showAll="0"/>
    <pivotField showAll="0"/>
    <pivotField showAll="0"/>
    <pivotField axis="axisRow" showAll="0">
      <items count="4">
        <item h="1" x="0"/>
        <item h="1" x="1"/>
        <item x="2"/>
        <item t="default"/>
      </items>
    </pivotField>
    <pivotField showAll="0"/>
  </pivotFields>
  <rowFields count="1">
    <field x="33"/>
  </rowFields>
  <rowItems count="2">
    <i>
      <x v="2"/>
    </i>
    <i t="grand">
      <x/>
    </i>
  </rowItems>
  <colItems count="1">
    <i/>
  </colItems>
  <dataFields count="1">
    <dataField name="Count of Record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D2:F11" firstHeaderRow="1" firstDataRow="2" firstDataCol="1"/>
  <pivotFields count="35">
    <pivotField dataField="1" showAll="0" defaultSubtotal="0"/>
    <pivotField showAll="0"/>
    <pivotField showAll="0"/>
    <pivotField showAll="0"/>
    <pivotField showAll="0"/>
    <pivotField showAll="0"/>
    <pivotField showAll="0"/>
    <pivotField showAll="0"/>
    <pivotField axis="axisRow" showAll="0" sortType="ascending">
      <items count="9">
        <item x="4"/>
        <item x="6"/>
        <item x="2"/>
        <item x="5"/>
        <item x="0"/>
        <item x="1"/>
        <item m="1" x="7"/>
        <item x="3"/>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pivotField showAll="0"/>
    <pivotField showAll="0" defaultSubtotal="0"/>
    <pivotField showAll="0"/>
    <pivotField showAll="0" defaultSubtotal="0"/>
    <pivotField showAll="0" defaultSubtotal="0"/>
    <pivotField numFmtId="14" showAll="0"/>
    <pivotField showAll="0"/>
    <pivotField axis="axisCol" showAll="0">
      <items count="4">
        <item x="0"/>
        <item h="1" x="1"/>
        <item h="1" x="2"/>
        <item t="default"/>
      </items>
    </pivotField>
    <pivotField showAll="0" defaultSubtotal="0"/>
    <pivotField showAll="0"/>
    <pivotField numFmtId="14"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8"/>
  </rowFields>
  <rowItems count="8">
    <i>
      <x/>
    </i>
    <i>
      <x v="4"/>
    </i>
    <i>
      <x v="5"/>
    </i>
    <i>
      <x v="7"/>
    </i>
    <i>
      <x v="3"/>
    </i>
    <i>
      <x v="2"/>
    </i>
    <i>
      <x v="1"/>
    </i>
    <i t="grand">
      <x/>
    </i>
  </rowItems>
  <colFields count="1">
    <field x="20"/>
  </colFields>
  <colItems count="2">
    <i>
      <x/>
    </i>
    <i t="grand">
      <x/>
    </i>
  </colItems>
  <dataFields count="1">
    <dataField name="Count of Record ID" fld="0" subtotal="count" baseField="0" baseItem="0"/>
  </dataFields>
  <chartFormats count="2">
    <chartFormat chart="13" format="0" series="1">
      <pivotArea type="data" outline="0" fieldPosition="0">
        <references count="2">
          <reference field="4294967294" count="1" selected="0">
            <x v="0"/>
          </reference>
          <reference field="20" count="1" selected="0">
            <x v="0"/>
          </reference>
        </references>
      </pivotArea>
    </chartFormat>
    <chartFormat chart="10" format="3" series="1">
      <pivotArea type="data" outline="0" fieldPosition="0">
        <references count="2">
          <reference field="4294967294" count="1" selected="0">
            <x v="0"/>
          </reference>
          <reference field="20"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5" name="tblExpandedRawEnrollment" displayName="tblExpandedRawEnrollment" ref="A1:Y251">
  <tableColumns count="25">
    <tableColumn id="1" name="Record ID"/>
    <tableColumn id="2" name="Practice Name"/>
    <tableColumn id="3" name="Provider Name"/>
    <tableColumn id="4" name="Individual NPI"/>
    <tableColumn id="5" name="Group NPI"/>
    <tableColumn id="6" name="Credentialed NPI"/>
    <tableColumn id="7" name="Enrolled NPI"/>
    <tableColumn id="8" name="Tax ID"/>
    <tableColumn id="9" name="Payer Name"/>
    <tableColumn id="10" name="Payer ID"/>
    <tableColumn id="11" name="Payer Type"/>
    <tableColumn id="12" name="PTAN / Provider Number"/>
    <tableColumn id="13" name="Enrollment Type"/>
    <tableColumn id="14" name="Credentialing Status"/>
    <tableColumn id="15" name="Claims Enrollment Status"/>
    <tableColumn id="16" name="ERA Enrollment Status"/>
    <tableColumn id="17" name="Clearinghouse Portal Updated"/>
    <tableColumn id="18" name="Clearinghouse Configuration Status"/>
    <tableColumn id="19" name="Submitted Date"/>
    <tableColumn id="20" name="Approved Date"/>
    <tableColumn id="21" name="Current Status"/>
    <tableColumn id="22" name="Blocker Reason"/>
    <tableColumn id="23" name="Assigned Owner"/>
    <tableColumn id="24" name="Follow-up Date"/>
    <tableColumn id="25" name="Notes"/>
  </tableColumns>
  <tableStyleInfo name="TableStyleMedium2" showFirstColumn="0" showLastColumn="0" showRowStripes="1" showColumnStripes="0"/>
</table>
</file>

<file path=xl/tables/table2.xml><?xml version="1.0" encoding="utf-8"?>
<table xmlns="http://schemas.openxmlformats.org/spreadsheetml/2006/main" id="1" name="tblEnrollment" displayName="tblEnrollment" ref="A1:AI252" totalsRowCount="1" headerRowDxfId="73" headerRowBorderDxfId="72" tableBorderDxfId="71">
  <autoFilter ref="A1:AI251"/>
  <tableColumns count="35">
    <tableColumn id="1" name="Record ID" dataDxfId="70"/>
    <tableColumn id="2" name="Practice Name" dataDxfId="69" totalsRowDxfId="68"/>
    <tableColumn id="3" name="Provider Name" dataDxfId="67" totalsRowDxfId="66"/>
    <tableColumn id="4" name="Individual NPI" dataDxfId="65" totalsRowDxfId="64"/>
    <tableColumn id="5" name="Group NPI" dataDxfId="63" totalsRowDxfId="62"/>
    <tableColumn id="6" name="Credentialed NPI" dataDxfId="61" totalsRowDxfId="60"/>
    <tableColumn id="7" name="Enrolled NPI" dataDxfId="59" totalsRowDxfId="58"/>
    <tableColumn id="8" name="Tax ID" dataDxfId="57" totalsRowDxfId="56"/>
    <tableColumn id="9" name="Payer Name" dataDxfId="55" totalsRowDxfId="54"/>
    <tableColumn id="10" name="Payer ID" dataDxfId="53" totalsRowDxfId="52"/>
    <tableColumn id="11" name="Payer Type" dataDxfId="51" totalsRowDxfId="50"/>
    <tableColumn id="12" name="PTAN / Provider Number" dataDxfId="49" totalsRowDxfId="48"/>
    <tableColumn id="13" name="Enrollment Type" dataDxfId="47" totalsRowDxfId="46"/>
    <tableColumn id="14" name="Credentialing Status" dataDxfId="45" totalsRowDxfId="44"/>
    <tableColumn id="15" name="Claims Enrollment Status" dataDxfId="43" totalsRowDxfId="42"/>
    <tableColumn id="16" name="ERA Enrollment Status" dataDxfId="41" totalsRowDxfId="40"/>
    <tableColumn id="17" name="Clearinghouse Portal Updated" dataDxfId="39" totalsRowDxfId="38"/>
    <tableColumn id="18" name="Clearinghouse Configuration Status" dataDxfId="37" totalsRowDxfId="36"/>
    <tableColumn id="19" name="Submitted Date" dataDxfId="35" totalsRowDxfId="34"/>
    <tableColumn id="20" name="Approved Date" dataDxfId="33" totalsRowDxfId="32"/>
    <tableColumn id="21" name="Current Status" dataDxfId="31" totalsRowDxfId="30"/>
    <tableColumn id="22" name="Blocker Reason" dataDxfId="29" totalsRowDxfId="28"/>
    <tableColumn id="23" name="Assigned Owner" dataDxfId="27" totalsRowDxfId="26"/>
    <tableColumn id="24" name="Follow-up Date" dataDxfId="25" totalsRowDxfId="24"/>
    <tableColumn id="25" name="Notes" dataDxfId="23" totalsRowDxfId="22"/>
    <tableColumn id="26" name="Aging Days" dataDxfId="21" totalsRowDxfId="20">
      <calculatedColumnFormula>IF(tblEnrollment[[#This Row],[Approved Date]]="",DATE(2026,6,3)-tblEnrollment[[#This Row],[Submitted Date]],tblEnrollment[[#This Row],[Approved Date]]-tblEnrollment[[#This Row],[Submitted Date]])</calculatedColumnFormula>
    </tableColumn>
    <tableColumn id="27" name="SLA Status" dataDxfId="19" totalsRowDxfId="18">
      <calculatedColumnFormula>IF(tblEnrollment[[#This Row],[Current Status]] ="Ready","Completed",IF(Z2&gt;21,"SLA Breached","Within SLA"))</calculatedColumnFormula>
    </tableColumn>
    <tableColumn id="28" name="NPI Match Status" dataDxfId="17" totalsRowDxfId="16">
      <calculatedColumnFormula>IF(tblEnrollment[[#This Row],[Credentialed NPI]] =tblEnrollment[[#This Row],[Enrolled NPI]],"NPI Match","NPI Mismatch")</calculatedColumnFormula>
    </tableColumn>
    <tableColumn id="29" name="Provider Identifier Issue Flag" dataDxfId="15" totalsRowDxfId="14">
      <calculatedColumnFormula>IF(OR(tblEnrollment[[#This Row],[Blocker Reason]] ="Individual NPI used instead of Group NPI",tblEnrollment[[#This Row],[Blocker Reason]] ="Credentialed NPI mismatch",tblEnrollment[[#This Row],[Blocker Reason]] ="Incorrect PTAN/Provider number"),"Yes","No")</calculatedColumnFormula>
    </tableColumn>
    <tableColumn id="30" name="Payer Routing issue Flag" dataDxfId="13" totalsRowDxfId="12">
      <calculatedColumnFormula>IF(OR(tblEnrollment[[#This Row],[Blocker Reason]] ="Wrong Payer ID",tblEnrollment[[#This Row],[Blocker Reason]] ="Old Payer ID used"),"Yes","No")</calculatedColumnFormula>
    </tableColumn>
    <tableColumn id="31" name="Clearinghouse gap Flag" dataDxfId="11" totalsRowDxfId="10">
      <calculatedColumnFormula>IF(OR(tblEnrollment[[#This Row],[Clearinghouse Portal Updated]]="No",tblEnrollment[[#This Row],[Blocker Reason]] ="Clearinghouse portal not updated"),"Yes","No")</calculatedColumnFormula>
    </tableColumn>
    <tableColumn id="32" name="Government Payer Issue Flag" dataDxfId="9" totalsRowDxfId="8">
      <calculatedColumnFormula>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calculatedColumnFormula>
    </tableColumn>
    <tableColumn id="33" name="Claims Ready Flag" dataDxfId="7" totalsRowDxfId="6">
      <calculatedColumnFormula>IF(OR(tblEnrollment[[#This Row],[Enrollment Type]]="Claims",tblEnrollment[[#This Row],[Enrollment Type]]="Claims and ERA"),IF(AND(tblEnrollment[[#This Row],[Credentialing Status]]="Completed",tblEnrollment[[#This Row],[Claims Enrollment Status]]="Approved",tblEnrollment[[#This Row],[Clearinghouse Configuration Status]]="Completed",AB2="NPI Match"),"Ready","Not Ready"),"Not Applicable")</calculatedColumnFormula>
    </tableColumn>
    <tableColumn id="34" name="ERA Ready Flag" dataDxfId="5" totalsRowDxfId="4">
      <calculatedColumnFormula>IF(OR(tblEnrollment[[#This Row],[Enrollment Type]]="ERA",tblEnrollment[[#This Row],[Enrollment Type]]="Claims and ERA"),IF(AND(tblEnrollment[[#This Row],[Credentialing Status]]="Completed",tblEnrollment[[#This Row],[ERA Enrollment Status]]="Approved",tblEnrollment[[#This Row],[Clearinghouse Configuration Status]]="Completed",AB2="NPI Match"),"Ready","Not Ready"),"Not Applicable")</calculatedColumnFormula>
    </tableColumn>
    <tableColumn id="35" name="Action Required Flag" dataDxfId="3" totalsRowDxfId="2">
      <calculatedColumnFormula>IF(tblEnrollment[[#This Row],[Blocker Reason]] ="No Blocker","No","Yes")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2" name="Table2" displayName="Table2" ref="A1:D13" totalsRowShown="0">
  <autoFilter ref="A1:D13"/>
  <tableColumns count="4">
    <tableColumn id="1" name="Check Name"/>
    <tableColumn id="2" name="Expected Result"/>
    <tableColumn id="3" name="Actual Result" dataDxfId="1"/>
    <tableColumn id="4" name="Check Status" dataDxfId="0">
      <calculatedColumnFormula>IF(Table2[[#This Row],[Expected Result]]=Table2[[#This Row],[Actual Result]],"Pass","Check")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51"/>
  <sheetViews>
    <sheetView topLeftCell="S1" workbookViewId="0">
      <selection activeCell="V32" sqref="V32"/>
    </sheetView>
  </sheetViews>
  <sheetFormatPr defaultRowHeight="14.5"/>
  <cols>
    <col min="1" max="1" width="10" bestFit="1" customWidth="1"/>
    <col min="2" max="2" width="25" bestFit="1" customWidth="1"/>
    <col min="3" max="3" width="17.54296875" bestFit="1" customWidth="1"/>
    <col min="4" max="4" width="13.54296875" bestFit="1" customWidth="1"/>
    <col min="5" max="5" width="12.26953125" bestFit="1" customWidth="1"/>
    <col min="6" max="6" width="16.36328125" bestFit="1" customWidth="1"/>
    <col min="7" max="7" width="12.26953125" bestFit="1" customWidth="1"/>
    <col min="8" max="8" width="11.08984375" bestFit="1" customWidth="1"/>
    <col min="9" max="9" width="15.90625" bestFit="1" customWidth="1"/>
    <col min="10" max="10" width="12.54296875" bestFit="1" customWidth="1"/>
    <col min="11" max="11" width="11.26953125" bestFit="1" customWidth="1"/>
    <col min="12" max="12" width="24.08984375" bestFit="1" customWidth="1"/>
    <col min="13" max="13" width="16.08984375" bestFit="1" customWidth="1"/>
    <col min="14" max="14" width="19.7265625" bestFit="1" customWidth="1"/>
    <col min="15" max="15" width="24.453125" bestFit="1" customWidth="1"/>
    <col min="16" max="16" width="22.36328125" bestFit="1" customWidth="1"/>
    <col min="17" max="17" width="28.90625" bestFit="1" customWidth="1"/>
    <col min="18" max="18" width="34.36328125" bestFit="1" customWidth="1"/>
    <col min="19" max="19" width="15.1796875" bestFit="1" customWidth="1"/>
    <col min="20" max="20" width="14.81640625" bestFit="1" customWidth="1"/>
    <col min="21" max="21" width="14.453125" bestFit="1" customWidth="1"/>
    <col min="22" max="22" width="34.6328125" bestFit="1" customWidth="1"/>
    <col min="23" max="23" width="16.36328125" bestFit="1" customWidth="1"/>
    <col min="24" max="24" width="14.90625" bestFit="1" customWidth="1"/>
    <col min="25" max="25" width="64.36328125" bestFit="1" customWidth="1"/>
  </cols>
  <sheetData>
    <row r="1" spans="1:25">
      <c r="A1" s="34" t="s">
        <v>318</v>
      </c>
      <c r="B1" s="34" t="s">
        <v>1</v>
      </c>
      <c r="C1" s="34" t="s">
        <v>0</v>
      </c>
      <c r="D1" s="34" t="s">
        <v>2</v>
      </c>
      <c r="E1" s="34" t="s">
        <v>3</v>
      </c>
      <c r="F1" s="34" t="s">
        <v>4</v>
      </c>
      <c r="G1" s="34" t="s">
        <v>5</v>
      </c>
      <c r="H1" s="34" t="s">
        <v>6</v>
      </c>
      <c r="I1" s="34" t="s">
        <v>7</v>
      </c>
      <c r="J1" s="34" t="s">
        <v>8</v>
      </c>
      <c r="K1" s="34" t="s">
        <v>9</v>
      </c>
      <c r="L1" s="34" t="s">
        <v>319</v>
      </c>
      <c r="M1" s="34" t="s">
        <v>235</v>
      </c>
      <c r="N1" s="34" t="s">
        <v>320</v>
      </c>
      <c r="O1" s="34" t="s">
        <v>321</v>
      </c>
      <c r="P1" s="34" t="s">
        <v>10</v>
      </c>
      <c r="Q1" s="34" t="s">
        <v>322</v>
      </c>
      <c r="R1" s="34" t="s">
        <v>323</v>
      </c>
      <c r="S1" s="34" t="s">
        <v>11</v>
      </c>
      <c r="T1" s="34" t="s">
        <v>324</v>
      </c>
      <c r="U1" s="34" t="s">
        <v>12</v>
      </c>
      <c r="V1" s="34" t="s">
        <v>236</v>
      </c>
      <c r="W1" s="34" t="s">
        <v>13</v>
      </c>
      <c r="X1" s="34" t="s">
        <v>14</v>
      </c>
      <c r="Y1" s="34" t="s">
        <v>15</v>
      </c>
    </row>
    <row r="2" spans="1:25">
      <c r="A2" s="35" t="s">
        <v>325</v>
      </c>
      <c r="B2" s="35" t="s">
        <v>76</v>
      </c>
      <c r="C2" s="35" t="s">
        <v>326</v>
      </c>
      <c r="D2" s="35" t="s">
        <v>17</v>
      </c>
      <c r="E2" s="35" t="s">
        <v>99</v>
      </c>
      <c r="F2" s="35" t="s">
        <v>99</v>
      </c>
      <c r="G2" s="35" t="s">
        <v>99</v>
      </c>
      <c r="H2" s="35" t="s">
        <v>116</v>
      </c>
      <c r="I2" s="35" t="s">
        <v>129</v>
      </c>
      <c r="J2" s="35" t="s">
        <v>327</v>
      </c>
      <c r="K2" s="35" t="s">
        <v>44</v>
      </c>
      <c r="L2" s="35" t="s">
        <v>328</v>
      </c>
      <c r="M2" s="35" t="s">
        <v>55</v>
      </c>
      <c r="N2" s="35" t="s">
        <v>46</v>
      </c>
      <c r="O2" s="35" t="s">
        <v>138</v>
      </c>
      <c r="P2" s="35" t="s">
        <v>139</v>
      </c>
      <c r="Q2" s="35" t="s">
        <v>48</v>
      </c>
      <c r="R2" s="35" t="s">
        <v>140</v>
      </c>
      <c r="S2" s="36">
        <v>46145</v>
      </c>
      <c r="T2" s="36"/>
      <c r="U2" s="35" t="s">
        <v>141</v>
      </c>
      <c r="V2" s="35" t="s">
        <v>329</v>
      </c>
      <c r="W2" s="35" t="s">
        <v>330</v>
      </c>
      <c r="X2" s="36">
        <v>46176</v>
      </c>
      <c r="Y2" s="35" t="s">
        <v>331</v>
      </c>
    </row>
    <row r="3" spans="1:25">
      <c r="A3" s="35" t="s">
        <v>332</v>
      </c>
      <c r="B3" s="35" t="s">
        <v>63</v>
      </c>
      <c r="C3" s="35" t="s">
        <v>333</v>
      </c>
      <c r="D3" s="35" t="s">
        <v>18</v>
      </c>
      <c r="E3" s="35" t="s">
        <v>334</v>
      </c>
      <c r="F3" s="35" t="s">
        <v>334</v>
      </c>
      <c r="G3" s="35" t="s">
        <v>334</v>
      </c>
      <c r="H3" s="35" t="s">
        <v>335</v>
      </c>
      <c r="I3" s="35" t="s">
        <v>43</v>
      </c>
      <c r="J3" s="35" t="s">
        <v>336</v>
      </c>
      <c r="K3" s="35" t="s">
        <v>44</v>
      </c>
      <c r="L3" s="35" t="s">
        <v>337</v>
      </c>
      <c r="M3" s="35" t="s">
        <v>45</v>
      </c>
      <c r="N3" s="35" t="s">
        <v>46</v>
      </c>
      <c r="O3" s="35" t="s">
        <v>138</v>
      </c>
      <c r="P3" s="35" t="s">
        <v>138</v>
      </c>
      <c r="Q3" s="35" t="s">
        <v>48</v>
      </c>
      <c r="R3" s="35" t="s">
        <v>140</v>
      </c>
      <c r="S3" s="36">
        <v>46093</v>
      </c>
      <c r="T3" s="36"/>
      <c r="U3" s="35" t="s">
        <v>141</v>
      </c>
      <c r="V3" s="35" t="s">
        <v>329</v>
      </c>
      <c r="W3" s="35" t="s">
        <v>338</v>
      </c>
      <c r="X3" s="36">
        <v>46183</v>
      </c>
      <c r="Y3" s="35" t="s">
        <v>331</v>
      </c>
    </row>
    <row r="4" spans="1:25">
      <c r="A4" s="35" t="s">
        <v>339</v>
      </c>
      <c r="B4" s="35" t="s">
        <v>340</v>
      </c>
      <c r="C4" s="35" t="s">
        <v>341</v>
      </c>
      <c r="D4" s="35" t="s">
        <v>19</v>
      </c>
      <c r="E4" s="35" t="s">
        <v>92</v>
      </c>
      <c r="F4" s="35" t="s">
        <v>92</v>
      </c>
      <c r="G4" s="35" t="s">
        <v>92</v>
      </c>
      <c r="H4" s="35" t="s">
        <v>116</v>
      </c>
      <c r="I4" s="35" t="s">
        <v>131</v>
      </c>
      <c r="J4" s="35" t="s">
        <v>342</v>
      </c>
      <c r="K4" s="35" t="s">
        <v>53</v>
      </c>
      <c r="L4" s="35" t="s">
        <v>54</v>
      </c>
      <c r="M4" s="35" t="s">
        <v>136</v>
      </c>
      <c r="N4" s="35" t="s">
        <v>46</v>
      </c>
      <c r="O4" s="35" t="s">
        <v>139</v>
      </c>
      <c r="P4" s="35" t="s">
        <v>56</v>
      </c>
      <c r="Q4" s="35" t="s">
        <v>58</v>
      </c>
      <c r="R4" s="35" t="s">
        <v>56</v>
      </c>
      <c r="S4" s="36">
        <v>46092</v>
      </c>
      <c r="T4" s="36"/>
      <c r="U4" s="35" t="s">
        <v>56</v>
      </c>
      <c r="V4" s="35" t="s">
        <v>143</v>
      </c>
      <c r="W4" s="35" t="s">
        <v>330</v>
      </c>
      <c r="X4" s="36">
        <v>46181</v>
      </c>
      <c r="Y4" s="35" t="s">
        <v>343</v>
      </c>
    </row>
    <row r="5" spans="1:25">
      <c r="A5" s="35" t="s">
        <v>344</v>
      </c>
      <c r="B5" s="35" t="s">
        <v>69</v>
      </c>
      <c r="C5" s="35" t="s">
        <v>345</v>
      </c>
      <c r="D5" s="35" t="s">
        <v>20</v>
      </c>
      <c r="E5" s="35" t="s">
        <v>104</v>
      </c>
      <c r="F5" s="35" t="s">
        <v>104</v>
      </c>
      <c r="G5" s="35" t="s">
        <v>104</v>
      </c>
      <c r="H5" s="35" t="s">
        <v>115</v>
      </c>
      <c r="I5" s="35" t="s">
        <v>346</v>
      </c>
      <c r="J5" s="35" t="s">
        <v>347</v>
      </c>
      <c r="K5" s="35" t="s">
        <v>53</v>
      </c>
      <c r="L5" s="35" t="s">
        <v>54</v>
      </c>
      <c r="M5" s="35" t="s">
        <v>136</v>
      </c>
      <c r="N5" s="35" t="s">
        <v>46</v>
      </c>
      <c r="O5" s="35" t="s">
        <v>139</v>
      </c>
      <c r="P5" s="35" t="s">
        <v>47</v>
      </c>
      <c r="Q5" s="35" t="s">
        <v>48</v>
      </c>
      <c r="R5" s="35" t="s">
        <v>46</v>
      </c>
      <c r="S5" s="36">
        <v>46154</v>
      </c>
      <c r="T5" s="36">
        <v>46169</v>
      </c>
      <c r="U5" s="35" t="s">
        <v>49</v>
      </c>
      <c r="V5" s="35" t="s">
        <v>348</v>
      </c>
      <c r="W5" s="35" t="s">
        <v>349</v>
      </c>
      <c r="X5" s="36">
        <v>46177</v>
      </c>
      <c r="Y5" s="35" t="s">
        <v>350</v>
      </c>
    </row>
    <row r="6" spans="1:25">
      <c r="A6" s="35" t="s">
        <v>351</v>
      </c>
      <c r="B6" s="35" t="s">
        <v>73</v>
      </c>
      <c r="C6" s="35" t="s">
        <v>352</v>
      </c>
      <c r="D6" s="35" t="s">
        <v>21</v>
      </c>
      <c r="E6" s="35" t="s">
        <v>353</v>
      </c>
      <c r="F6" s="35" t="s">
        <v>353</v>
      </c>
      <c r="G6" s="35" t="s">
        <v>353</v>
      </c>
      <c r="H6" s="35" t="s">
        <v>110</v>
      </c>
      <c r="I6" s="35" t="s">
        <v>346</v>
      </c>
      <c r="J6" s="35" t="s">
        <v>347</v>
      </c>
      <c r="K6" s="35" t="s">
        <v>53</v>
      </c>
      <c r="L6" s="35" t="s">
        <v>54</v>
      </c>
      <c r="M6" s="35" t="s">
        <v>45</v>
      </c>
      <c r="N6" s="35" t="s">
        <v>46</v>
      </c>
      <c r="O6" s="35" t="s">
        <v>47</v>
      </c>
      <c r="P6" s="35" t="s">
        <v>56</v>
      </c>
      <c r="Q6" s="35" t="s">
        <v>58</v>
      </c>
      <c r="R6" s="35" t="s">
        <v>56</v>
      </c>
      <c r="S6" s="36">
        <v>46086</v>
      </c>
      <c r="T6" s="36"/>
      <c r="U6" s="35" t="s">
        <v>56</v>
      </c>
      <c r="V6" s="35" t="s">
        <v>143</v>
      </c>
      <c r="W6" s="35" t="s">
        <v>330</v>
      </c>
      <c r="X6" s="36">
        <v>46187</v>
      </c>
      <c r="Y6" s="35" t="s">
        <v>343</v>
      </c>
    </row>
    <row r="7" spans="1:25">
      <c r="A7" s="35" t="s">
        <v>354</v>
      </c>
      <c r="B7" s="35" t="s">
        <v>77</v>
      </c>
      <c r="C7" s="35" t="s">
        <v>355</v>
      </c>
      <c r="D7" s="35" t="s">
        <v>22</v>
      </c>
      <c r="E7" s="35" t="s">
        <v>100</v>
      </c>
      <c r="F7" s="35" t="s">
        <v>100</v>
      </c>
      <c r="G7" s="35" t="s">
        <v>100</v>
      </c>
      <c r="H7" s="35" t="s">
        <v>356</v>
      </c>
      <c r="I7" s="35" t="s">
        <v>43</v>
      </c>
      <c r="J7" s="35" t="s">
        <v>357</v>
      </c>
      <c r="K7" s="35" t="s">
        <v>44</v>
      </c>
      <c r="L7" s="35" t="s">
        <v>358</v>
      </c>
      <c r="M7" s="35" t="s">
        <v>45</v>
      </c>
      <c r="N7" s="35" t="s">
        <v>46</v>
      </c>
      <c r="O7" s="35" t="s">
        <v>56</v>
      </c>
      <c r="P7" s="35" t="s">
        <v>56</v>
      </c>
      <c r="Q7" s="35" t="s">
        <v>48</v>
      </c>
      <c r="R7" s="35" t="s">
        <v>137</v>
      </c>
      <c r="S7" s="36">
        <v>46134</v>
      </c>
      <c r="T7" s="36"/>
      <c r="U7" s="35" t="s">
        <v>56</v>
      </c>
      <c r="V7" s="35" t="s">
        <v>148</v>
      </c>
      <c r="W7" s="35" t="s">
        <v>349</v>
      </c>
      <c r="X7" s="36">
        <v>46180</v>
      </c>
      <c r="Y7" s="35" t="s">
        <v>359</v>
      </c>
    </row>
    <row r="8" spans="1:25">
      <c r="A8" s="35" t="s">
        <v>360</v>
      </c>
      <c r="B8" s="35" t="s">
        <v>361</v>
      </c>
      <c r="C8" s="35" t="s">
        <v>362</v>
      </c>
      <c r="D8" s="35" t="s">
        <v>23</v>
      </c>
      <c r="E8" s="35" t="s">
        <v>95</v>
      </c>
      <c r="F8" s="35" t="s">
        <v>95</v>
      </c>
      <c r="G8" s="35" t="s">
        <v>95</v>
      </c>
      <c r="H8" s="35" t="s">
        <v>363</v>
      </c>
      <c r="I8" s="35" t="s">
        <v>131</v>
      </c>
      <c r="J8" s="35" t="s">
        <v>342</v>
      </c>
      <c r="K8" s="35" t="s">
        <v>53</v>
      </c>
      <c r="L8" s="35" t="s">
        <v>54</v>
      </c>
      <c r="M8" s="35" t="s">
        <v>136</v>
      </c>
      <c r="N8" s="35" t="s">
        <v>46</v>
      </c>
      <c r="O8" s="35" t="s">
        <v>139</v>
      </c>
      <c r="P8" s="35" t="s">
        <v>56</v>
      </c>
      <c r="Q8" s="35" t="s">
        <v>48</v>
      </c>
      <c r="R8" s="35" t="s">
        <v>137</v>
      </c>
      <c r="S8" s="36">
        <v>46055</v>
      </c>
      <c r="T8" s="36"/>
      <c r="U8" s="35" t="s">
        <v>56</v>
      </c>
      <c r="V8" s="35" t="s">
        <v>364</v>
      </c>
      <c r="W8" s="35" t="s">
        <v>365</v>
      </c>
      <c r="X8" s="36">
        <v>46185</v>
      </c>
      <c r="Y8" s="35" t="s">
        <v>366</v>
      </c>
    </row>
    <row r="9" spans="1:25">
      <c r="A9" s="35" t="s">
        <v>367</v>
      </c>
      <c r="B9" s="35" t="s">
        <v>361</v>
      </c>
      <c r="C9" s="35" t="s">
        <v>368</v>
      </c>
      <c r="D9" s="35" t="s">
        <v>24</v>
      </c>
      <c r="E9" s="35" t="s">
        <v>99</v>
      </c>
      <c r="F9" s="35" t="s">
        <v>99</v>
      </c>
      <c r="G9" s="35" t="s">
        <v>99</v>
      </c>
      <c r="H9" s="35" t="s">
        <v>109</v>
      </c>
      <c r="I9" s="35" t="s">
        <v>131</v>
      </c>
      <c r="J9" s="35" t="s">
        <v>342</v>
      </c>
      <c r="K9" s="35" t="s">
        <v>53</v>
      </c>
      <c r="L9" s="35" t="s">
        <v>54</v>
      </c>
      <c r="M9" s="35" t="s">
        <v>45</v>
      </c>
      <c r="N9" s="35" t="s">
        <v>46</v>
      </c>
      <c r="O9" s="35" t="s">
        <v>47</v>
      </c>
      <c r="P9" s="35" t="s">
        <v>47</v>
      </c>
      <c r="Q9" s="35" t="s">
        <v>48</v>
      </c>
      <c r="R9" s="35" t="s">
        <v>46</v>
      </c>
      <c r="S9" s="36">
        <v>46120</v>
      </c>
      <c r="T9" s="36">
        <v>46140</v>
      </c>
      <c r="U9" s="35" t="s">
        <v>49</v>
      </c>
      <c r="V9" s="35" t="s">
        <v>348</v>
      </c>
      <c r="W9" s="35" t="s">
        <v>365</v>
      </c>
      <c r="X9" s="36">
        <v>46176</v>
      </c>
      <c r="Y9" s="35" t="s">
        <v>350</v>
      </c>
    </row>
    <row r="10" spans="1:25">
      <c r="A10" s="35" t="s">
        <v>369</v>
      </c>
      <c r="B10" s="35" t="s">
        <v>340</v>
      </c>
      <c r="C10" s="35" t="s">
        <v>370</v>
      </c>
      <c r="D10" s="35" t="s">
        <v>25</v>
      </c>
      <c r="E10" s="35" t="s">
        <v>99</v>
      </c>
      <c r="F10" s="35" t="s">
        <v>99</v>
      </c>
      <c r="G10" s="35" t="s">
        <v>99</v>
      </c>
      <c r="H10" s="35" t="s">
        <v>371</v>
      </c>
      <c r="I10" s="35" t="s">
        <v>43</v>
      </c>
      <c r="J10" s="35" t="s">
        <v>357</v>
      </c>
      <c r="K10" s="35" t="s">
        <v>44</v>
      </c>
      <c r="L10" s="35" t="s">
        <v>372</v>
      </c>
      <c r="M10" s="35" t="s">
        <v>55</v>
      </c>
      <c r="N10" s="35" t="s">
        <v>46</v>
      </c>
      <c r="O10" s="35" t="s">
        <v>138</v>
      </c>
      <c r="P10" s="35" t="s">
        <v>139</v>
      </c>
      <c r="Q10" s="35" t="s">
        <v>48</v>
      </c>
      <c r="R10" s="35" t="s">
        <v>137</v>
      </c>
      <c r="S10" s="36">
        <v>46117</v>
      </c>
      <c r="T10" s="36"/>
      <c r="U10" s="35" t="s">
        <v>56</v>
      </c>
      <c r="V10" s="35" t="s">
        <v>151</v>
      </c>
      <c r="W10" s="35" t="s">
        <v>349</v>
      </c>
      <c r="X10" s="36">
        <v>46179</v>
      </c>
      <c r="Y10" s="35" t="s">
        <v>373</v>
      </c>
    </row>
    <row r="11" spans="1:25">
      <c r="A11" s="35" t="s">
        <v>374</v>
      </c>
      <c r="B11" s="35" t="s">
        <v>375</v>
      </c>
      <c r="C11" s="35" t="s">
        <v>376</v>
      </c>
      <c r="D11" s="35" t="s">
        <v>26</v>
      </c>
      <c r="E11" s="35" t="s">
        <v>98</v>
      </c>
      <c r="F11" s="35" t="s">
        <v>98</v>
      </c>
      <c r="G11" s="35" t="s">
        <v>98</v>
      </c>
      <c r="H11" s="35" t="s">
        <v>356</v>
      </c>
      <c r="I11" s="35" t="s">
        <v>129</v>
      </c>
      <c r="J11" s="35" t="s">
        <v>134</v>
      </c>
      <c r="K11" s="35" t="s">
        <v>44</v>
      </c>
      <c r="L11" s="35" t="s">
        <v>135</v>
      </c>
      <c r="M11" s="35" t="s">
        <v>55</v>
      </c>
      <c r="N11" s="35" t="s">
        <v>46</v>
      </c>
      <c r="O11" s="35" t="s">
        <v>138</v>
      </c>
      <c r="P11" s="35" t="s">
        <v>139</v>
      </c>
      <c r="Q11" s="35" t="s">
        <v>48</v>
      </c>
      <c r="R11" s="35" t="s">
        <v>140</v>
      </c>
      <c r="S11" s="36">
        <v>46146</v>
      </c>
      <c r="T11" s="36"/>
      <c r="U11" s="35" t="s">
        <v>141</v>
      </c>
      <c r="V11" s="35" t="s">
        <v>377</v>
      </c>
      <c r="W11" s="35" t="s">
        <v>349</v>
      </c>
      <c r="X11" s="36">
        <v>46185</v>
      </c>
      <c r="Y11" s="35" t="s">
        <v>378</v>
      </c>
    </row>
    <row r="12" spans="1:25">
      <c r="A12" s="35" t="s">
        <v>379</v>
      </c>
      <c r="B12" s="35" t="s">
        <v>64</v>
      </c>
      <c r="C12" s="35" t="s">
        <v>380</v>
      </c>
      <c r="D12" s="35" t="s">
        <v>27</v>
      </c>
      <c r="E12" s="35" t="s">
        <v>381</v>
      </c>
      <c r="F12" s="35" t="s">
        <v>381</v>
      </c>
      <c r="G12" s="35" t="s">
        <v>381</v>
      </c>
      <c r="H12" s="35" t="s">
        <v>382</v>
      </c>
      <c r="I12" s="35" t="s">
        <v>43</v>
      </c>
      <c r="J12" s="35" t="s">
        <v>357</v>
      </c>
      <c r="K12" s="35" t="s">
        <v>44</v>
      </c>
      <c r="L12" s="35" t="s">
        <v>383</v>
      </c>
      <c r="M12" s="35" t="s">
        <v>45</v>
      </c>
      <c r="N12" s="35" t="s">
        <v>46</v>
      </c>
      <c r="O12" s="35" t="s">
        <v>56</v>
      </c>
      <c r="P12" s="35" t="s">
        <v>56</v>
      </c>
      <c r="Q12" s="35" t="s">
        <v>48</v>
      </c>
      <c r="R12" s="35" t="s">
        <v>137</v>
      </c>
      <c r="S12" s="36">
        <v>46076</v>
      </c>
      <c r="T12" s="36"/>
      <c r="U12" s="35" t="s">
        <v>56</v>
      </c>
      <c r="V12" s="35" t="s">
        <v>148</v>
      </c>
      <c r="W12" s="35" t="s">
        <v>365</v>
      </c>
      <c r="X12" s="36">
        <v>46186</v>
      </c>
      <c r="Y12" s="35" t="s">
        <v>359</v>
      </c>
    </row>
    <row r="13" spans="1:25">
      <c r="A13" s="35" t="s">
        <v>384</v>
      </c>
      <c r="B13" s="35" t="s">
        <v>75</v>
      </c>
      <c r="C13" s="35" t="s">
        <v>385</v>
      </c>
      <c r="D13" s="35" t="s">
        <v>28</v>
      </c>
      <c r="E13" s="35" t="s">
        <v>386</v>
      </c>
      <c r="F13" s="35" t="s">
        <v>386</v>
      </c>
      <c r="G13" s="35" t="s">
        <v>387</v>
      </c>
      <c r="H13" s="35" t="s">
        <v>388</v>
      </c>
      <c r="I13" s="35" t="s">
        <v>346</v>
      </c>
      <c r="J13" s="35" t="s">
        <v>347</v>
      </c>
      <c r="K13" s="35" t="s">
        <v>53</v>
      </c>
      <c r="L13" s="35" t="s">
        <v>54</v>
      </c>
      <c r="M13" s="35" t="s">
        <v>45</v>
      </c>
      <c r="N13" s="35" t="s">
        <v>46</v>
      </c>
      <c r="O13" s="35" t="s">
        <v>138</v>
      </c>
      <c r="P13" s="35" t="s">
        <v>138</v>
      </c>
      <c r="Q13" s="35" t="s">
        <v>48</v>
      </c>
      <c r="R13" s="35" t="s">
        <v>140</v>
      </c>
      <c r="S13" s="36">
        <v>46039</v>
      </c>
      <c r="T13" s="36"/>
      <c r="U13" s="35" t="s">
        <v>141</v>
      </c>
      <c r="V13" s="35" t="s">
        <v>144</v>
      </c>
      <c r="W13" s="35" t="s">
        <v>330</v>
      </c>
      <c r="X13" s="36">
        <v>46186</v>
      </c>
      <c r="Y13" s="35" t="s">
        <v>389</v>
      </c>
    </row>
    <row r="14" spans="1:25">
      <c r="A14" s="35" t="s">
        <v>390</v>
      </c>
      <c r="B14" s="35" t="s">
        <v>391</v>
      </c>
      <c r="C14" s="35" t="s">
        <v>392</v>
      </c>
      <c r="D14" s="35" t="s">
        <v>29</v>
      </c>
      <c r="E14" s="35" t="s">
        <v>100</v>
      </c>
      <c r="F14" s="35" t="s">
        <v>100</v>
      </c>
      <c r="G14" s="35" t="s">
        <v>100</v>
      </c>
      <c r="H14" s="35" t="s">
        <v>118</v>
      </c>
      <c r="I14" s="35" t="s">
        <v>130</v>
      </c>
      <c r="J14" s="35" t="s">
        <v>393</v>
      </c>
      <c r="K14" s="35" t="s">
        <v>53</v>
      </c>
      <c r="L14" s="35" t="s">
        <v>54</v>
      </c>
      <c r="M14" s="35" t="s">
        <v>55</v>
      </c>
      <c r="N14" s="35" t="s">
        <v>46</v>
      </c>
      <c r="O14" s="35" t="s">
        <v>47</v>
      </c>
      <c r="P14" s="35" t="s">
        <v>139</v>
      </c>
      <c r="Q14" s="35" t="s">
        <v>48</v>
      </c>
      <c r="R14" s="35" t="s">
        <v>46</v>
      </c>
      <c r="S14" s="36">
        <v>46104</v>
      </c>
      <c r="T14" s="36">
        <v>46119</v>
      </c>
      <c r="U14" s="35" t="s">
        <v>49</v>
      </c>
      <c r="V14" s="35" t="s">
        <v>348</v>
      </c>
      <c r="W14" s="35" t="s">
        <v>338</v>
      </c>
      <c r="X14" s="36">
        <v>46178</v>
      </c>
      <c r="Y14" s="35" t="s">
        <v>350</v>
      </c>
    </row>
    <row r="15" spans="1:25">
      <c r="A15" s="35" t="s">
        <v>394</v>
      </c>
      <c r="B15" s="35" t="s">
        <v>395</v>
      </c>
      <c r="C15" s="35" t="s">
        <v>396</v>
      </c>
      <c r="D15" s="35" t="s">
        <v>30</v>
      </c>
      <c r="E15" s="35" t="s">
        <v>353</v>
      </c>
      <c r="F15" s="35" t="s">
        <v>353</v>
      </c>
      <c r="G15" s="35" t="s">
        <v>353</v>
      </c>
      <c r="H15" s="35" t="s">
        <v>397</v>
      </c>
      <c r="I15" s="35" t="s">
        <v>346</v>
      </c>
      <c r="J15" s="35" t="s">
        <v>347</v>
      </c>
      <c r="K15" s="35" t="s">
        <v>53</v>
      </c>
      <c r="L15" s="35" t="s">
        <v>54</v>
      </c>
      <c r="M15" s="35" t="s">
        <v>45</v>
      </c>
      <c r="N15" s="35" t="s">
        <v>46</v>
      </c>
      <c r="O15" s="35" t="s">
        <v>47</v>
      </c>
      <c r="P15" s="35" t="s">
        <v>47</v>
      </c>
      <c r="Q15" s="35" t="s">
        <v>48</v>
      </c>
      <c r="R15" s="35" t="s">
        <v>46</v>
      </c>
      <c r="S15" s="36">
        <v>46078</v>
      </c>
      <c r="T15" s="36">
        <v>46093</v>
      </c>
      <c r="U15" s="35" t="s">
        <v>49</v>
      </c>
      <c r="V15" s="35" t="s">
        <v>348</v>
      </c>
      <c r="W15" s="35" t="s">
        <v>330</v>
      </c>
      <c r="X15" s="36">
        <v>46184</v>
      </c>
      <c r="Y15" s="35" t="s">
        <v>350</v>
      </c>
    </row>
    <row r="16" spans="1:25">
      <c r="A16" s="35" t="s">
        <v>398</v>
      </c>
      <c r="B16" s="35" t="s">
        <v>71</v>
      </c>
      <c r="C16" s="35" t="s">
        <v>399</v>
      </c>
      <c r="D16" s="35" t="s">
        <v>31</v>
      </c>
      <c r="E16" s="35" t="s">
        <v>105</v>
      </c>
      <c r="F16" s="35" t="s">
        <v>105</v>
      </c>
      <c r="G16" s="35" t="s">
        <v>105</v>
      </c>
      <c r="H16" s="35" t="s">
        <v>400</v>
      </c>
      <c r="I16" s="35" t="s">
        <v>132</v>
      </c>
      <c r="J16" s="35" t="s">
        <v>401</v>
      </c>
      <c r="K16" s="35" t="s">
        <v>53</v>
      </c>
      <c r="L16" s="35" t="s">
        <v>54</v>
      </c>
      <c r="M16" s="35" t="s">
        <v>45</v>
      </c>
      <c r="N16" s="35" t="s">
        <v>46</v>
      </c>
      <c r="O16" s="35" t="s">
        <v>47</v>
      </c>
      <c r="P16" s="35" t="s">
        <v>47</v>
      </c>
      <c r="Q16" s="35" t="s">
        <v>48</v>
      </c>
      <c r="R16" s="35" t="s">
        <v>46</v>
      </c>
      <c r="S16" s="36">
        <v>46098</v>
      </c>
      <c r="T16" s="36">
        <v>46114</v>
      </c>
      <c r="U16" s="35" t="s">
        <v>49</v>
      </c>
      <c r="V16" s="35" t="s">
        <v>348</v>
      </c>
      <c r="W16" s="35" t="s">
        <v>330</v>
      </c>
      <c r="X16" s="36">
        <v>46177</v>
      </c>
      <c r="Y16" s="35" t="s">
        <v>350</v>
      </c>
    </row>
    <row r="17" spans="1:25">
      <c r="A17" s="35" t="s">
        <v>402</v>
      </c>
      <c r="B17" s="35" t="s">
        <v>403</v>
      </c>
      <c r="C17" s="35" t="s">
        <v>404</v>
      </c>
      <c r="D17" s="35" t="s">
        <v>32</v>
      </c>
      <c r="E17" s="35" t="s">
        <v>405</v>
      </c>
      <c r="F17" s="35" t="s">
        <v>405</v>
      </c>
      <c r="G17" s="35" t="s">
        <v>405</v>
      </c>
      <c r="H17" s="35" t="s">
        <v>382</v>
      </c>
      <c r="I17" s="35" t="s">
        <v>132</v>
      </c>
      <c r="J17" s="35" t="s">
        <v>401</v>
      </c>
      <c r="K17" s="35" t="s">
        <v>53</v>
      </c>
      <c r="L17" s="35" t="s">
        <v>54</v>
      </c>
      <c r="M17" s="35" t="s">
        <v>55</v>
      </c>
      <c r="N17" s="35" t="s">
        <v>137</v>
      </c>
      <c r="O17" s="35" t="s">
        <v>57</v>
      </c>
      <c r="P17" s="35" t="s">
        <v>139</v>
      </c>
      <c r="Q17" s="35" t="s">
        <v>58</v>
      </c>
      <c r="R17" s="35" t="s">
        <v>57</v>
      </c>
      <c r="S17" s="36">
        <v>46079</v>
      </c>
      <c r="T17" s="36"/>
      <c r="U17" s="35" t="s">
        <v>56</v>
      </c>
      <c r="V17" s="35" t="s">
        <v>147</v>
      </c>
      <c r="W17" s="35" t="s">
        <v>338</v>
      </c>
      <c r="X17" s="36">
        <v>46180</v>
      </c>
      <c r="Y17" s="35" t="s">
        <v>406</v>
      </c>
    </row>
    <row r="18" spans="1:25">
      <c r="A18" s="35" t="s">
        <v>407</v>
      </c>
      <c r="B18" s="35" t="s">
        <v>63</v>
      </c>
      <c r="C18" s="35" t="s">
        <v>408</v>
      </c>
      <c r="D18" s="35" t="s">
        <v>33</v>
      </c>
      <c r="E18" s="35" t="s">
        <v>409</v>
      </c>
      <c r="F18" s="35" t="s">
        <v>409</v>
      </c>
      <c r="G18" s="35" t="s">
        <v>33</v>
      </c>
      <c r="H18" s="35" t="s">
        <v>410</v>
      </c>
      <c r="I18" s="35" t="s">
        <v>129</v>
      </c>
      <c r="J18" s="35" t="s">
        <v>134</v>
      </c>
      <c r="K18" s="35" t="s">
        <v>44</v>
      </c>
      <c r="L18" s="35" t="s">
        <v>411</v>
      </c>
      <c r="M18" s="35" t="s">
        <v>45</v>
      </c>
      <c r="N18" s="35" t="s">
        <v>46</v>
      </c>
      <c r="O18" s="35" t="s">
        <v>138</v>
      </c>
      <c r="P18" s="35" t="s">
        <v>138</v>
      </c>
      <c r="Q18" s="35" t="s">
        <v>48</v>
      </c>
      <c r="R18" s="35" t="s">
        <v>140</v>
      </c>
      <c r="S18" s="36">
        <v>46132</v>
      </c>
      <c r="T18" s="36"/>
      <c r="U18" s="35" t="s">
        <v>141</v>
      </c>
      <c r="V18" s="35" t="s">
        <v>412</v>
      </c>
      <c r="W18" s="35" t="s">
        <v>338</v>
      </c>
      <c r="X18" s="36">
        <v>46183</v>
      </c>
      <c r="Y18" s="35" t="s">
        <v>413</v>
      </c>
    </row>
    <row r="19" spans="1:25">
      <c r="A19" s="35" t="s">
        <v>414</v>
      </c>
      <c r="B19" s="35" t="s">
        <v>61</v>
      </c>
      <c r="C19" s="35" t="s">
        <v>415</v>
      </c>
      <c r="D19" s="35" t="s">
        <v>34</v>
      </c>
      <c r="E19" s="35" t="s">
        <v>86</v>
      </c>
      <c r="F19" s="35" t="s">
        <v>86</v>
      </c>
      <c r="G19" s="35" t="s">
        <v>416</v>
      </c>
      <c r="H19" s="35" t="s">
        <v>112</v>
      </c>
      <c r="I19" s="35" t="s">
        <v>51</v>
      </c>
      <c r="J19" s="35" t="s">
        <v>52</v>
      </c>
      <c r="K19" s="35" t="s">
        <v>53</v>
      </c>
      <c r="L19" s="35" t="s">
        <v>54</v>
      </c>
      <c r="M19" s="35" t="s">
        <v>55</v>
      </c>
      <c r="N19" s="35" t="s">
        <v>46</v>
      </c>
      <c r="O19" s="35" t="s">
        <v>138</v>
      </c>
      <c r="P19" s="35" t="s">
        <v>139</v>
      </c>
      <c r="Q19" s="35" t="s">
        <v>48</v>
      </c>
      <c r="R19" s="35" t="s">
        <v>140</v>
      </c>
      <c r="S19" s="36">
        <v>46093</v>
      </c>
      <c r="T19" s="36"/>
      <c r="U19" s="35" t="s">
        <v>141</v>
      </c>
      <c r="V19" s="35" t="s">
        <v>144</v>
      </c>
      <c r="W19" s="35" t="s">
        <v>330</v>
      </c>
      <c r="X19" s="36">
        <v>46176</v>
      </c>
      <c r="Y19" s="35" t="s">
        <v>389</v>
      </c>
    </row>
    <row r="20" spans="1:25">
      <c r="A20" s="35" t="s">
        <v>417</v>
      </c>
      <c r="B20" s="35" t="s">
        <v>64</v>
      </c>
      <c r="C20" s="35" t="s">
        <v>418</v>
      </c>
      <c r="D20" s="35" t="s">
        <v>35</v>
      </c>
      <c r="E20" s="35" t="s">
        <v>84</v>
      </c>
      <c r="F20" s="35" t="s">
        <v>84</v>
      </c>
      <c r="G20" s="35" t="s">
        <v>35</v>
      </c>
      <c r="H20" s="35" t="s">
        <v>419</v>
      </c>
      <c r="I20" s="35" t="s">
        <v>132</v>
      </c>
      <c r="J20" s="35" t="s">
        <v>401</v>
      </c>
      <c r="K20" s="35" t="s">
        <v>53</v>
      </c>
      <c r="L20" s="35" t="s">
        <v>54</v>
      </c>
      <c r="M20" s="35" t="s">
        <v>136</v>
      </c>
      <c r="N20" s="35" t="s">
        <v>46</v>
      </c>
      <c r="O20" s="35" t="s">
        <v>139</v>
      </c>
      <c r="P20" s="35" t="s">
        <v>138</v>
      </c>
      <c r="Q20" s="35" t="s">
        <v>48</v>
      </c>
      <c r="R20" s="35" t="s">
        <v>140</v>
      </c>
      <c r="S20" s="36">
        <v>46108</v>
      </c>
      <c r="T20" s="36"/>
      <c r="U20" s="35" t="s">
        <v>141</v>
      </c>
      <c r="V20" s="35" t="s">
        <v>412</v>
      </c>
      <c r="W20" s="35" t="s">
        <v>349</v>
      </c>
      <c r="X20" s="36">
        <v>46186</v>
      </c>
      <c r="Y20" s="35" t="s">
        <v>413</v>
      </c>
    </row>
    <row r="21" spans="1:25">
      <c r="A21" s="35" t="s">
        <v>420</v>
      </c>
      <c r="B21" s="35" t="s">
        <v>73</v>
      </c>
      <c r="C21" s="35" t="s">
        <v>421</v>
      </c>
      <c r="D21" s="35" t="s">
        <v>36</v>
      </c>
      <c r="E21" s="35" t="s">
        <v>422</v>
      </c>
      <c r="F21" s="35" t="s">
        <v>422</v>
      </c>
      <c r="G21" s="35" t="s">
        <v>422</v>
      </c>
      <c r="H21" s="35" t="s">
        <v>423</v>
      </c>
      <c r="I21" s="35" t="s">
        <v>346</v>
      </c>
      <c r="J21" s="35" t="s">
        <v>424</v>
      </c>
      <c r="K21" s="35" t="s">
        <v>53</v>
      </c>
      <c r="L21" s="35" t="s">
        <v>54</v>
      </c>
      <c r="M21" s="35" t="s">
        <v>45</v>
      </c>
      <c r="N21" s="35" t="s">
        <v>46</v>
      </c>
      <c r="O21" s="35" t="s">
        <v>138</v>
      </c>
      <c r="P21" s="35" t="s">
        <v>138</v>
      </c>
      <c r="Q21" s="35" t="s">
        <v>48</v>
      </c>
      <c r="R21" s="35" t="s">
        <v>140</v>
      </c>
      <c r="S21" s="36">
        <v>46085</v>
      </c>
      <c r="T21" s="36"/>
      <c r="U21" s="35" t="s">
        <v>141</v>
      </c>
      <c r="V21" s="35" t="s">
        <v>329</v>
      </c>
      <c r="W21" s="35" t="s">
        <v>330</v>
      </c>
      <c r="X21" s="36">
        <v>46177</v>
      </c>
      <c r="Y21" s="35" t="s">
        <v>331</v>
      </c>
    </row>
    <row r="22" spans="1:25">
      <c r="A22" s="35" t="s">
        <v>425</v>
      </c>
      <c r="B22" s="35" t="s">
        <v>68</v>
      </c>
      <c r="C22" s="35" t="s">
        <v>426</v>
      </c>
      <c r="D22" s="35" t="s">
        <v>37</v>
      </c>
      <c r="E22" s="35" t="s">
        <v>427</v>
      </c>
      <c r="F22" s="35" t="s">
        <v>427</v>
      </c>
      <c r="G22" s="35" t="s">
        <v>427</v>
      </c>
      <c r="H22" s="35" t="s">
        <v>428</v>
      </c>
      <c r="I22" s="35" t="s">
        <v>132</v>
      </c>
      <c r="J22" s="35" t="s">
        <v>401</v>
      </c>
      <c r="K22" s="35" t="s">
        <v>53</v>
      </c>
      <c r="L22" s="35" t="s">
        <v>54</v>
      </c>
      <c r="M22" s="35" t="s">
        <v>45</v>
      </c>
      <c r="N22" s="35" t="s">
        <v>137</v>
      </c>
      <c r="O22" s="35" t="s">
        <v>57</v>
      </c>
      <c r="P22" s="35" t="s">
        <v>57</v>
      </c>
      <c r="Q22" s="35" t="s">
        <v>58</v>
      </c>
      <c r="R22" s="35" t="s">
        <v>57</v>
      </c>
      <c r="S22" s="36">
        <v>46062</v>
      </c>
      <c r="T22" s="36"/>
      <c r="U22" s="35" t="s">
        <v>56</v>
      </c>
      <c r="V22" s="35" t="s">
        <v>147</v>
      </c>
      <c r="W22" s="35" t="s">
        <v>349</v>
      </c>
      <c r="X22" s="36">
        <v>46176</v>
      </c>
      <c r="Y22" s="35" t="s">
        <v>406</v>
      </c>
    </row>
    <row r="23" spans="1:25">
      <c r="A23" s="35" t="s">
        <v>429</v>
      </c>
      <c r="B23" s="35" t="s">
        <v>340</v>
      </c>
      <c r="C23" s="35" t="s">
        <v>430</v>
      </c>
      <c r="D23" s="35" t="s">
        <v>38</v>
      </c>
      <c r="E23" s="35" t="s">
        <v>94</v>
      </c>
      <c r="F23" s="35" t="s">
        <v>94</v>
      </c>
      <c r="G23" s="35" t="s">
        <v>94</v>
      </c>
      <c r="H23" s="35" t="s">
        <v>114</v>
      </c>
      <c r="I23" s="35" t="s">
        <v>129</v>
      </c>
      <c r="J23" s="35" t="s">
        <v>134</v>
      </c>
      <c r="K23" s="35" t="s">
        <v>44</v>
      </c>
      <c r="L23" s="35" t="s">
        <v>431</v>
      </c>
      <c r="M23" s="35" t="s">
        <v>45</v>
      </c>
      <c r="N23" s="35" t="s">
        <v>46</v>
      </c>
      <c r="O23" s="35" t="s">
        <v>47</v>
      </c>
      <c r="P23" s="35" t="s">
        <v>47</v>
      </c>
      <c r="Q23" s="35" t="s">
        <v>48</v>
      </c>
      <c r="R23" s="35" t="s">
        <v>46</v>
      </c>
      <c r="S23" s="36">
        <v>46083</v>
      </c>
      <c r="T23" s="36">
        <v>46094</v>
      </c>
      <c r="U23" s="35" t="s">
        <v>49</v>
      </c>
      <c r="V23" s="35" t="s">
        <v>348</v>
      </c>
      <c r="W23" s="35" t="s">
        <v>365</v>
      </c>
      <c r="X23" s="36">
        <v>46183</v>
      </c>
      <c r="Y23" s="35" t="s">
        <v>350</v>
      </c>
    </row>
    <row r="24" spans="1:25">
      <c r="A24" s="35" t="s">
        <v>432</v>
      </c>
      <c r="B24" s="35" t="s">
        <v>70</v>
      </c>
      <c r="C24" s="35" t="s">
        <v>433</v>
      </c>
      <c r="D24" s="35" t="s">
        <v>39</v>
      </c>
      <c r="E24" s="35" t="s">
        <v>85</v>
      </c>
      <c r="F24" s="35" t="s">
        <v>85</v>
      </c>
      <c r="G24" s="35" t="s">
        <v>85</v>
      </c>
      <c r="H24" s="35" t="s">
        <v>400</v>
      </c>
      <c r="I24" s="35" t="s">
        <v>131</v>
      </c>
      <c r="J24" s="35" t="s">
        <v>434</v>
      </c>
      <c r="K24" s="35" t="s">
        <v>53</v>
      </c>
      <c r="L24" s="35" t="s">
        <v>54</v>
      </c>
      <c r="M24" s="35" t="s">
        <v>45</v>
      </c>
      <c r="N24" s="35" t="s">
        <v>46</v>
      </c>
      <c r="O24" s="35" t="s">
        <v>138</v>
      </c>
      <c r="P24" s="35" t="s">
        <v>138</v>
      </c>
      <c r="Q24" s="35" t="s">
        <v>48</v>
      </c>
      <c r="R24" s="35" t="s">
        <v>140</v>
      </c>
      <c r="S24" s="36">
        <v>46097</v>
      </c>
      <c r="T24" s="36"/>
      <c r="U24" s="35" t="s">
        <v>141</v>
      </c>
      <c r="V24" s="35" t="s">
        <v>435</v>
      </c>
      <c r="W24" s="35" t="s">
        <v>349</v>
      </c>
      <c r="X24" s="36">
        <v>46178</v>
      </c>
      <c r="Y24" s="35" t="s">
        <v>436</v>
      </c>
    </row>
    <row r="25" spans="1:25">
      <c r="A25" s="35" t="s">
        <v>437</v>
      </c>
      <c r="B25" s="35" t="s">
        <v>71</v>
      </c>
      <c r="C25" s="35" t="s">
        <v>438</v>
      </c>
      <c r="D25" s="35" t="s">
        <v>40</v>
      </c>
      <c r="E25" s="35" t="s">
        <v>439</v>
      </c>
      <c r="F25" s="35" t="s">
        <v>439</v>
      </c>
      <c r="G25" s="35" t="s">
        <v>439</v>
      </c>
      <c r="H25" s="35" t="s">
        <v>382</v>
      </c>
      <c r="I25" s="35" t="s">
        <v>43</v>
      </c>
      <c r="J25" s="35" t="s">
        <v>357</v>
      </c>
      <c r="K25" s="35" t="s">
        <v>44</v>
      </c>
      <c r="L25" s="35" t="s">
        <v>440</v>
      </c>
      <c r="M25" s="35" t="s">
        <v>55</v>
      </c>
      <c r="N25" s="35" t="s">
        <v>46</v>
      </c>
      <c r="O25" s="35" t="s">
        <v>47</v>
      </c>
      <c r="P25" s="35" t="s">
        <v>139</v>
      </c>
      <c r="Q25" s="35" t="s">
        <v>48</v>
      </c>
      <c r="R25" s="35" t="s">
        <v>46</v>
      </c>
      <c r="S25" s="36">
        <v>46136</v>
      </c>
      <c r="T25" s="36">
        <v>46147</v>
      </c>
      <c r="U25" s="35" t="s">
        <v>49</v>
      </c>
      <c r="V25" s="35" t="s">
        <v>348</v>
      </c>
      <c r="W25" s="35" t="s">
        <v>441</v>
      </c>
      <c r="X25" s="36">
        <v>46183</v>
      </c>
      <c r="Y25" s="35" t="s">
        <v>350</v>
      </c>
    </row>
    <row r="26" spans="1:25">
      <c r="A26" s="35" t="s">
        <v>442</v>
      </c>
      <c r="B26" s="35" t="s">
        <v>78</v>
      </c>
      <c r="C26" s="35" t="s">
        <v>443</v>
      </c>
      <c r="D26" s="35" t="s">
        <v>444</v>
      </c>
      <c r="E26" s="35" t="s">
        <v>381</v>
      </c>
      <c r="F26" s="35" t="s">
        <v>381</v>
      </c>
      <c r="G26" s="35" t="s">
        <v>381</v>
      </c>
      <c r="H26" s="35" t="s">
        <v>112</v>
      </c>
      <c r="I26" s="35" t="s">
        <v>129</v>
      </c>
      <c r="J26" s="35" t="s">
        <v>134</v>
      </c>
      <c r="K26" s="35" t="s">
        <v>44</v>
      </c>
      <c r="L26" s="35" t="s">
        <v>445</v>
      </c>
      <c r="M26" s="35" t="s">
        <v>55</v>
      </c>
      <c r="N26" s="35" t="s">
        <v>46</v>
      </c>
      <c r="O26" s="35" t="s">
        <v>47</v>
      </c>
      <c r="P26" s="35" t="s">
        <v>139</v>
      </c>
      <c r="Q26" s="35" t="s">
        <v>48</v>
      </c>
      <c r="R26" s="35" t="s">
        <v>46</v>
      </c>
      <c r="S26" s="36">
        <v>46051</v>
      </c>
      <c r="T26" s="36">
        <v>46067</v>
      </c>
      <c r="U26" s="35" t="s">
        <v>49</v>
      </c>
      <c r="V26" s="35" t="s">
        <v>348</v>
      </c>
      <c r="W26" s="35" t="s">
        <v>338</v>
      </c>
      <c r="X26" s="36">
        <v>46187</v>
      </c>
      <c r="Y26" s="35" t="s">
        <v>350</v>
      </c>
    </row>
    <row r="27" spans="1:25">
      <c r="A27" s="35" t="s">
        <v>446</v>
      </c>
      <c r="B27" s="35" t="s">
        <v>79</v>
      </c>
      <c r="C27" s="35" t="s">
        <v>447</v>
      </c>
      <c r="D27" s="35" t="s">
        <v>448</v>
      </c>
      <c r="E27" s="35" t="s">
        <v>85</v>
      </c>
      <c r="F27" s="35" t="s">
        <v>85</v>
      </c>
      <c r="G27" s="35" t="s">
        <v>85</v>
      </c>
      <c r="H27" s="35" t="s">
        <v>115</v>
      </c>
      <c r="I27" s="35" t="s">
        <v>346</v>
      </c>
      <c r="J27" s="35" t="s">
        <v>347</v>
      </c>
      <c r="K27" s="35" t="s">
        <v>53</v>
      </c>
      <c r="L27" s="35" t="s">
        <v>54</v>
      </c>
      <c r="M27" s="35" t="s">
        <v>45</v>
      </c>
      <c r="N27" s="35" t="s">
        <v>46</v>
      </c>
      <c r="O27" s="35" t="s">
        <v>56</v>
      </c>
      <c r="P27" s="35" t="s">
        <v>56</v>
      </c>
      <c r="Q27" s="35" t="s">
        <v>48</v>
      </c>
      <c r="R27" s="35" t="s">
        <v>137</v>
      </c>
      <c r="S27" s="36">
        <v>46172</v>
      </c>
      <c r="T27" s="36"/>
      <c r="U27" s="35" t="s">
        <v>56</v>
      </c>
      <c r="V27" s="35" t="s">
        <v>148</v>
      </c>
      <c r="W27" s="35" t="s">
        <v>330</v>
      </c>
      <c r="X27" s="36">
        <v>46178</v>
      </c>
      <c r="Y27" s="35" t="s">
        <v>359</v>
      </c>
    </row>
    <row r="28" spans="1:25">
      <c r="A28" s="35" t="s">
        <v>449</v>
      </c>
      <c r="B28" s="35" t="s">
        <v>395</v>
      </c>
      <c r="C28" s="35" t="s">
        <v>450</v>
      </c>
      <c r="D28" s="35" t="s">
        <v>451</v>
      </c>
      <c r="E28" s="35" t="s">
        <v>334</v>
      </c>
      <c r="F28" s="35" t="s">
        <v>334</v>
      </c>
      <c r="G28" s="35" t="s">
        <v>334</v>
      </c>
      <c r="H28" s="35" t="s">
        <v>110</v>
      </c>
      <c r="I28" s="35" t="s">
        <v>43</v>
      </c>
      <c r="J28" s="35" t="s">
        <v>357</v>
      </c>
      <c r="K28" s="35" t="s">
        <v>44</v>
      </c>
      <c r="L28" s="35" t="s">
        <v>452</v>
      </c>
      <c r="M28" s="35" t="s">
        <v>45</v>
      </c>
      <c r="N28" s="35" t="s">
        <v>46</v>
      </c>
      <c r="O28" s="35" t="s">
        <v>47</v>
      </c>
      <c r="P28" s="35" t="s">
        <v>47</v>
      </c>
      <c r="Q28" s="35" t="s">
        <v>48</v>
      </c>
      <c r="R28" s="35" t="s">
        <v>46</v>
      </c>
      <c r="S28" s="36">
        <v>46067</v>
      </c>
      <c r="T28" s="36">
        <v>46083</v>
      </c>
      <c r="U28" s="35" t="s">
        <v>49</v>
      </c>
      <c r="V28" s="35" t="s">
        <v>348</v>
      </c>
      <c r="W28" s="35" t="s">
        <v>338</v>
      </c>
      <c r="X28" s="36">
        <v>46179</v>
      </c>
      <c r="Y28" s="35" t="s">
        <v>350</v>
      </c>
    </row>
    <row r="29" spans="1:25">
      <c r="A29" s="35" t="s">
        <v>453</v>
      </c>
      <c r="B29" s="35" t="s">
        <v>75</v>
      </c>
      <c r="C29" s="35" t="s">
        <v>454</v>
      </c>
      <c r="D29" s="35" t="s">
        <v>455</v>
      </c>
      <c r="E29" s="35" t="s">
        <v>456</v>
      </c>
      <c r="F29" s="35" t="s">
        <v>456</v>
      </c>
      <c r="G29" s="35" t="s">
        <v>456</v>
      </c>
      <c r="H29" s="35" t="s">
        <v>457</v>
      </c>
      <c r="I29" s="35" t="s">
        <v>346</v>
      </c>
      <c r="J29" s="35" t="s">
        <v>347</v>
      </c>
      <c r="K29" s="35" t="s">
        <v>53</v>
      </c>
      <c r="L29" s="35" t="s">
        <v>54</v>
      </c>
      <c r="M29" s="35" t="s">
        <v>45</v>
      </c>
      <c r="N29" s="35" t="s">
        <v>46</v>
      </c>
      <c r="O29" s="35" t="s">
        <v>47</v>
      </c>
      <c r="P29" s="35" t="s">
        <v>56</v>
      </c>
      <c r="Q29" s="35" t="s">
        <v>58</v>
      </c>
      <c r="R29" s="35" t="s">
        <v>56</v>
      </c>
      <c r="S29" s="36">
        <v>46103</v>
      </c>
      <c r="T29" s="36"/>
      <c r="U29" s="35" t="s">
        <v>56</v>
      </c>
      <c r="V29" s="35" t="s">
        <v>143</v>
      </c>
      <c r="W29" s="35" t="s">
        <v>441</v>
      </c>
      <c r="X29" s="36">
        <v>46179</v>
      </c>
      <c r="Y29" s="35" t="s">
        <v>343</v>
      </c>
    </row>
    <row r="30" spans="1:25">
      <c r="A30" s="35" t="s">
        <v>458</v>
      </c>
      <c r="B30" s="35" t="s">
        <v>65</v>
      </c>
      <c r="C30" s="35" t="s">
        <v>459</v>
      </c>
      <c r="D30" s="35" t="s">
        <v>460</v>
      </c>
      <c r="E30" s="35" t="s">
        <v>456</v>
      </c>
      <c r="F30" s="35" t="s">
        <v>456</v>
      </c>
      <c r="G30" s="35" t="s">
        <v>456</v>
      </c>
      <c r="H30" s="35" t="s">
        <v>117</v>
      </c>
      <c r="I30" s="35" t="s">
        <v>131</v>
      </c>
      <c r="J30" s="35" t="s">
        <v>342</v>
      </c>
      <c r="K30" s="35" t="s">
        <v>53</v>
      </c>
      <c r="L30" s="35" t="s">
        <v>54</v>
      </c>
      <c r="M30" s="35" t="s">
        <v>136</v>
      </c>
      <c r="N30" s="35" t="s">
        <v>46</v>
      </c>
      <c r="O30" s="35" t="s">
        <v>139</v>
      </c>
      <c r="P30" s="35" t="s">
        <v>56</v>
      </c>
      <c r="Q30" s="35" t="s">
        <v>58</v>
      </c>
      <c r="R30" s="35" t="s">
        <v>56</v>
      </c>
      <c r="S30" s="36">
        <v>46055</v>
      </c>
      <c r="T30" s="36"/>
      <c r="U30" s="35" t="s">
        <v>56</v>
      </c>
      <c r="V30" s="35" t="s">
        <v>143</v>
      </c>
      <c r="W30" s="35" t="s">
        <v>349</v>
      </c>
      <c r="X30" s="36">
        <v>46176</v>
      </c>
      <c r="Y30" s="35" t="s">
        <v>343</v>
      </c>
    </row>
    <row r="31" spans="1:25">
      <c r="A31" s="35" t="s">
        <v>461</v>
      </c>
      <c r="B31" s="35" t="s">
        <v>60</v>
      </c>
      <c r="C31" s="35" t="s">
        <v>462</v>
      </c>
      <c r="D31" s="35" t="s">
        <v>463</v>
      </c>
      <c r="E31" s="35" t="s">
        <v>464</v>
      </c>
      <c r="F31" s="35" t="s">
        <v>464</v>
      </c>
      <c r="G31" s="35" t="s">
        <v>464</v>
      </c>
      <c r="H31" s="35" t="s">
        <v>465</v>
      </c>
      <c r="I31" s="35" t="s">
        <v>51</v>
      </c>
      <c r="J31" s="35" t="s">
        <v>52</v>
      </c>
      <c r="K31" s="35" t="s">
        <v>53</v>
      </c>
      <c r="L31" s="35" t="s">
        <v>54</v>
      </c>
      <c r="M31" s="35" t="s">
        <v>55</v>
      </c>
      <c r="N31" s="35" t="s">
        <v>46</v>
      </c>
      <c r="O31" s="35" t="s">
        <v>47</v>
      </c>
      <c r="P31" s="35" t="s">
        <v>139</v>
      </c>
      <c r="Q31" s="35" t="s">
        <v>58</v>
      </c>
      <c r="R31" s="35" t="s">
        <v>56</v>
      </c>
      <c r="S31" s="36">
        <v>46054</v>
      </c>
      <c r="T31" s="36"/>
      <c r="U31" s="35" t="s">
        <v>56</v>
      </c>
      <c r="V31" s="35" t="s">
        <v>143</v>
      </c>
      <c r="W31" s="35" t="s">
        <v>441</v>
      </c>
      <c r="X31" s="36">
        <v>46179</v>
      </c>
      <c r="Y31" s="35" t="s">
        <v>343</v>
      </c>
    </row>
    <row r="32" spans="1:25">
      <c r="A32" s="35" t="s">
        <v>466</v>
      </c>
      <c r="B32" s="35" t="s">
        <v>361</v>
      </c>
      <c r="C32" s="35" t="s">
        <v>467</v>
      </c>
      <c r="D32" s="35" t="s">
        <v>468</v>
      </c>
      <c r="E32" s="35" t="s">
        <v>405</v>
      </c>
      <c r="F32" s="35" t="s">
        <v>405</v>
      </c>
      <c r="G32" s="35" t="s">
        <v>405</v>
      </c>
      <c r="H32" s="35" t="s">
        <v>469</v>
      </c>
      <c r="I32" s="35" t="s">
        <v>131</v>
      </c>
      <c r="J32" s="35" t="s">
        <v>342</v>
      </c>
      <c r="K32" s="35" t="s">
        <v>53</v>
      </c>
      <c r="L32" s="35" t="s">
        <v>54</v>
      </c>
      <c r="M32" s="35" t="s">
        <v>136</v>
      </c>
      <c r="N32" s="35" t="s">
        <v>46</v>
      </c>
      <c r="O32" s="35" t="s">
        <v>139</v>
      </c>
      <c r="P32" s="35" t="s">
        <v>56</v>
      </c>
      <c r="Q32" s="35" t="s">
        <v>48</v>
      </c>
      <c r="R32" s="35" t="s">
        <v>137</v>
      </c>
      <c r="S32" s="36">
        <v>46172</v>
      </c>
      <c r="T32" s="36"/>
      <c r="U32" s="35" t="s">
        <v>56</v>
      </c>
      <c r="V32" s="35" t="s">
        <v>364</v>
      </c>
      <c r="W32" s="35" t="s">
        <v>338</v>
      </c>
      <c r="X32" s="36">
        <v>46176</v>
      </c>
      <c r="Y32" s="35" t="s">
        <v>366</v>
      </c>
    </row>
    <row r="33" spans="1:25">
      <c r="A33" s="35" t="s">
        <v>470</v>
      </c>
      <c r="B33" s="35" t="s">
        <v>471</v>
      </c>
      <c r="C33" s="35" t="s">
        <v>472</v>
      </c>
      <c r="D33" s="35" t="s">
        <v>473</v>
      </c>
      <c r="E33" s="35" t="s">
        <v>90</v>
      </c>
      <c r="F33" s="35" t="s">
        <v>90</v>
      </c>
      <c r="G33" s="35" t="s">
        <v>90</v>
      </c>
      <c r="H33" s="35" t="s">
        <v>474</v>
      </c>
      <c r="I33" s="35" t="s">
        <v>51</v>
      </c>
      <c r="J33" s="35" t="s">
        <v>52</v>
      </c>
      <c r="K33" s="35" t="s">
        <v>53</v>
      </c>
      <c r="L33" s="35" t="s">
        <v>54</v>
      </c>
      <c r="M33" s="35" t="s">
        <v>55</v>
      </c>
      <c r="N33" s="35" t="s">
        <v>46</v>
      </c>
      <c r="O33" s="35" t="s">
        <v>47</v>
      </c>
      <c r="P33" s="35" t="s">
        <v>139</v>
      </c>
      <c r="Q33" s="35" t="s">
        <v>48</v>
      </c>
      <c r="R33" s="35" t="s">
        <v>46</v>
      </c>
      <c r="S33" s="36">
        <v>46076</v>
      </c>
      <c r="T33" s="36">
        <v>46087</v>
      </c>
      <c r="U33" s="35" t="s">
        <v>49</v>
      </c>
      <c r="V33" s="35" t="s">
        <v>348</v>
      </c>
      <c r="W33" s="35" t="s">
        <v>338</v>
      </c>
      <c r="X33" s="36">
        <v>46180</v>
      </c>
      <c r="Y33" s="35" t="s">
        <v>350</v>
      </c>
    </row>
    <row r="34" spans="1:25">
      <c r="A34" s="35" t="s">
        <v>475</v>
      </c>
      <c r="B34" s="35" t="s">
        <v>78</v>
      </c>
      <c r="C34" s="35" t="s">
        <v>476</v>
      </c>
      <c r="D34" s="35" t="s">
        <v>477</v>
      </c>
      <c r="E34" s="35" t="s">
        <v>478</v>
      </c>
      <c r="F34" s="35" t="s">
        <v>478</v>
      </c>
      <c r="G34" s="35" t="s">
        <v>477</v>
      </c>
      <c r="H34" s="35" t="s">
        <v>382</v>
      </c>
      <c r="I34" s="35" t="s">
        <v>131</v>
      </c>
      <c r="J34" s="35" t="s">
        <v>342</v>
      </c>
      <c r="K34" s="35" t="s">
        <v>53</v>
      </c>
      <c r="L34" s="35" t="s">
        <v>54</v>
      </c>
      <c r="M34" s="35" t="s">
        <v>45</v>
      </c>
      <c r="N34" s="35" t="s">
        <v>46</v>
      </c>
      <c r="O34" s="35" t="s">
        <v>138</v>
      </c>
      <c r="P34" s="35" t="s">
        <v>138</v>
      </c>
      <c r="Q34" s="35" t="s">
        <v>48</v>
      </c>
      <c r="R34" s="35" t="s">
        <v>140</v>
      </c>
      <c r="S34" s="36">
        <v>46101</v>
      </c>
      <c r="T34" s="36"/>
      <c r="U34" s="35" t="s">
        <v>141</v>
      </c>
      <c r="V34" s="35" t="s">
        <v>412</v>
      </c>
      <c r="W34" s="35" t="s">
        <v>330</v>
      </c>
      <c r="X34" s="36">
        <v>46176</v>
      </c>
      <c r="Y34" s="35" t="s">
        <v>413</v>
      </c>
    </row>
    <row r="35" spans="1:25">
      <c r="A35" s="35" t="s">
        <v>479</v>
      </c>
      <c r="B35" s="35" t="s">
        <v>403</v>
      </c>
      <c r="C35" s="35" t="s">
        <v>480</v>
      </c>
      <c r="D35" s="35" t="s">
        <v>481</v>
      </c>
      <c r="E35" s="35" t="s">
        <v>41</v>
      </c>
      <c r="F35" s="35" t="s">
        <v>41</v>
      </c>
      <c r="G35" s="35" t="s">
        <v>41</v>
      </c>
      <c r="H35" s="35" t="s">
        <v>382</v>
      </c>
      <c r="I35" s="35" t="s">
        <v>51</v>
      </c>
      <c r="J35" s="35" t="s">
        <v>52</v>
      </c>
      <c r="K35" s="35" t="s">
        <v>53</v>
      </c>
      <c r="L35" s="35" t="s">
        <v>54</v>
      </c>
      <c r="M35" s="35" t="s">
        <v>45</v>
      </c>
      <c r="N35" s="35" t="s">
        <v>46</v>
      </c>
      <c r="O35" s="35" t="s">
        <v>138</v>
      </c>
      <c r="P35" s="35" t="s">
        <v>138</v>
      </c>
      <c r="Q35" s="35" t="s">
        <v>48</v>
      </c>
      <c r="R35" s="35" t="s">
        <v>140</v>
      </c>
      <c r="S35" s="36">
        <v>46104</v>
      </c>
      <c r="T35" s="36"/>
      <c r="U35" s="35" t="s">
        <v>141</v>
      </c>
      <c r="V35" s="35" t="s">
        <v>377</v>
      </c>
      <c r="W35" s="35" t="s">
        <v>349</v>
      </c>
      <c r="X35" s="36">
        <v>46178</v>
      </c>
      <c r="Y35" s="35" t="s">
        <v>378</v>
      </c>
    </row>
    <row r="36" spans="1:25">
      <c r="A36" s="35" t="s">
        <v>482</v>
      </c>
      <c r="B36" s="35" t="s">
        <v>73</v>
      </c>
      <c r="C36" s="35" t="s">
        <v>483</v>
      </c>
      <c r="D36" s="35" t="s">
        <v>484</v>
      </c>
      <c r="E36" s="35" t="s">
        <v>86</v>
      </c>
      <c r="F36" s="35" t="s">
        <v>86</v>
      </c>
      <c r="G36" s="35" t="s">
        <v>485</v>
      </c>
      <c r="H36" s="35" t="s">
        <v>110</v>
      </c>
      <c r="I36" s="35" t="s">
        <v>131</v>
      </c>
      <c r="J36" s="35" t="s">
        <v>342</v>
      </c>
      <c r="K36" s="35" t="s">
        <v>53</v>
      </c>
      <c r="L36" s="35" t="s">
        <v>54</v>
      </c>
      <c r="M36" s="35" t="s">
        <v>45</v>
      </c>
      <c r="N36" s="35" t="s">
        <v>46</v>
      </c>
      <c r="O36" s="35" t="s">
        <v>138</v>
      </c>
      <c r="P36" s="35" t="s">
        <v>138</v>
      </c>
      <c r="Q36" s="35" t="s">
        <v>48</v>
      </c>
      <c r="R36" s="35" t="s">
        <v>140</v>
      </c>
      <c r="S36" s="36">
        <v>46074</v>
      </c>
      <c r="T36" s="36"/>
      <c r="U36" s="35" t="s">
        <v>141</v>
      </c>
      <c r="V36" s="35" t="s">
        <v>144</v>
      </c>
      <c r="W36" s="35" t="s">
        <v>365</v>
      </c>
      <c r="X36" s="36">
        <v>46182</v>
      </c>
      <c r="Y36" s="35" t="s">
        <v>389</v>
      </c>
    </row>
    <row r="37" spans="1:25">
      <c r="A37" s="35" t="s">
        <v>486</v>
      </c>
      <c r="B37" s="35" t="s">
        <v>66</v>
      </c>
      <c r="C37" s="35" t="s">
        <v>487</v>
      </c>
      <c r="D37" s="35" t="s">
        <v>488</v>
      </c>
      <c r="E37" s="35" t="s">
        <v>84</v>
      </c>
      <c r="F37" s="35" t="s">
        <v>84</v>
      </c>
      <c r="G37" s="35" t="s">
        <v>84</v>
      </c>
      <c r="H37" s="35" t="s">
        <v>124</v>
      </c>
      <c r="I37" s="35" t="s">
        <v>51</v>
      </c>
      <c r="J37" s="35" t="s">
        <v>52</v>
      </c>
      <c r="K37" s="35" t="s">
        <v>53</v>
      </c>
      <c r="L37" s="35" t="s">
        <v>54</v>
      </c>
      <c r="M37" s="35" t="s">
        <v>55</v>
      </c>
      <c r="N37" s="35" t="s">
        <v>46</v>
      </c>
      <c r="O37" s="35" t="s">
        <v>47</v>
      </c>
      <c r="P37" s="35" t="s">
        <v>139</v>
      </c>
      <c r="Q37" s="35" t="s">
        <v>48</v>
      </c>
      <c r="R37" s="35" t="s">
        <v>46</v>
      </c>
      <c r="S37" s="36">
        <v>46063</v>
      </c>
      <c r="T37" s="36">
        <v>46075</v>
      </c>
      <c r="U37" s="35" t="s">
        <v>49</v>
      </c>
      <c r="V37" s="35" t="s">
        <v>348</v>
      </c>
      <c r="W37" s="35" t="s">
        <v>349</v>
      </c>
      <c r="X37" s="36">
        <v>46184</v>
      </c>
      <c r="Y37" s="35" t="s">
        <v>350</v>
      </c>
    </row>
    <row r="38" spans="1:25">
      <c r="A38" s="35" t="s">
        <v>489</v>
      </c>
      <c r="B38" s="35" t="s">
        <v>471</v>
      </c>
      <c r="C38" s="35" t="s">
        <v>490</v>
      </c>
      <c r="D38" s="35" t="s">
        <v>491</v>
      </c>
      <c r="E38" s="35" t="s">
        <v>92</v>
      </c>
      <c r="F38" s="35" t="s">
        <v>92</v>
      </c>
      <c r="G38" s="35" t="s">
        <v>92</v>
      </c>
      <c r="H38" s="35" t="s">
        <v>492</v>
      </c>
      <c r="I38" s="35" t="s">
        <v>132</v>
      </c>
      <c r="J38" s="35" t="s">
        <v>401</v>
      </c>
      <c r="K38" s="35" t="s">
        <v>53</v>
      </c>
      <c r="L38" s="35" t="s">
        <v>54</v>
      </c>
      <c r="M38" s="35" t="s">
        <v>45</v>
      </c>
      <c r="N38" s="35" t="s">
        <v>46</v>
      </c>
      <c r="O38" s="35" t="s">
        <v>56</v>
      </c>
      <c r="P38" s="35" t="s">
        <v>56</v>
      </c>
      <c r="Q38" s="35" t="s">
        <v>48</v>
      </c>
      <c r="R38" s="35" t="s">
        <v>137</v>
      </c>
      <c r="S38" s="36">
        <v>46043</v>
      </c>
      <c r="T38" s="36"/>
      <c r="U38" s="35" t="s">
        <v>56</v>
      </c>
      <c r="V38" s="35" t="s">
        <v>148</v>
      </c>
      <c r="W38" s="35" t="s">
        <v>441</v>
      </c>
      <c r="X38" s="36">
        <v>46178</v>
      </c>
      <c r="Y38" s="35" t="s">
        <v>359</v>
      </c>
    </row>
    <row r="39" spans="1:25">
      <c r="A39" s="35" t="s">
        <v>493</v>
      </c>
      <c r="B39" s="35" t="s">
        <v>340</v>
      </c>
      <c r="C39" s="35" t="s">
        <v>494</v>
      </c>
      <c r="D39" s="35" t="s">
        <v>495</v>
      </c>
      <c r="E39" s="35" t="s">
        <v>92</v>
      </c>
      <c r="F39" s="35" t="s">
        <v>92</v>
      </c>
      <c r="G39" s="35" t="s">
        <v>92</v>
      </c>
      <c r="H39" s="35" t="s">
        <v>496</v>
      </c>
      <c r="I39" s="35" t="s">
        <v>132</v>
      </c>
      <c r="J39" s="35" t="s">
        <v>401</v>
      </c>
      <c r="K39" s="35" t="s">
        <v>53</v>
      </c>
      <c r="L39" s="35" t="s">
        <v>54</v>
      </c>
      <c r="M39" s="35" t="s">
        <v>45</v>
      </c>
      <c r="N39" s="35" t="s">
        <v>46</v>
      </c>
      <c r="O39" s="35" t="s">
        <v>47</v>
      </c>
      <c r="P39" s="35" t="s">
        <v>56</v>
      </c>
      <c r="Q39" s="35" t="s">
        <v>58</v>
      </c>
      <c r="R39" s="35" t="s">
        <v>56</v>
      </c>
      <c r="S39" s="36">
        <v>46046</v>
      </c>
      <c r="T39" s="36"/>
      <c r="U39" s="35" t="s">
        <v>56</v>
      </c>
      <c r="V39" s="35" t="s">
        <v>143</v>
      </c>
      <c r="W39" s="35" t="s">
        <v>365</v>
      </c>
      <c r="X39" s="36">
        <v>46183</v>
      </c>
      <c r="Y39" s="35" t="s">
        <v>343</v>
      </c>
    </row>
    <row r="40" spans="1:25">
      <c r="A40" s="35" t="s">
        <v>497</v>
      </c>
      <c r="B40" s="35" t="s">
        <v>403</v>
      </c>
      <c r="C40" s="35" t="s">
        <v>498</v>
      </c>
      <c r="D40" s="35" t="s">
        <v>499</v>
      </c>
      <c r="E40" s="35" t="s">
        <v>101</v>
      </c>
      <c r="F40" s="35" t="s">
        <v>101</v>
      </c>
      <c r="G40" s="35" t="s">
        <v>101</v>
      </c>
      <c r="H40" s="35" t="s">
        <v>500</v>
      </c>
      <c r="I40" s="35" t="s">
        <v>132</v>
      </c>
      <c r="J40" s="35" t="s">
        <v>401</v>
      </c>
      <c r="K40" s="35" t="s">
        <v>53</v>
      </c>
      <c r="L40" s="35" t="s">
        <v>54</v>
      </c>
      <c r="M40" s="35" t="s">
        <v>45</v>
      </c>
      <c r="N40" s="35" t="s">
        <v>46</v>
      </c>
      <c r="O40" s="35" t="s">
        <v>47</v>
      </c>
      <c r="P40" s="35" t="s">
        <v>47</v>
      </c>
      <c r="Q40" s="35" t="s">
        <v>48</v>
      </c>
      <c r="R40" s="35" t="s">
        <v>46</v>
      </c>
      <c r="S40" s="36">
        <v>46043</v>
      </c>
      <c r="T40" s="36">
        <v>46060</v>
      </c>
      <c r="U40" s="35" t="s">
        <v>49</v>
      </c>
      <c r="V40" s="35" t="s">
        <v>348</v>
      </c>
      <c r="W40" s="35" t="s">
        <v>349</v>
      </c>
      <c r="X40" s="36">
        <v>46179</v>
      </c>
      <c r="Y40" s="35" t="s">
        <v>350</v>
      </c>
    </row>
    <row r="41" spans="1:25">
      <c r="A41" s="35" t="s">
        <v>501</v>
      </c>
      <c r="B41" s="35" t="s">
        <v>65</v>
      </c>
      <c r="C41" s="35" t="s">
        <v>404</v>
      </c>
      <c r="D41" s="35" t="s">
        <v>502</v>
      </c>
      <c r="E41" s="35" t="s">
        <v>99</v>
      </c>
      <c r="F41" s="35" t="s">
        <v>99</v>
      </c>
      <c r="G41" s="35" t="s">
        <v>99</v>
      </c>
      <c r="H41" s="35" t="s">
        <v>119</v>
      </c>
      <c r="I41" s="35" t="s">
        <v>51</v>
      </c>
      <c r="J41" s="35" t="s">
        <v>52</v>
      </c>
      <c r="K41" s="35" t="s">
        <v>53</v>
      </c>
      <c r="L41" s="35" t="s">
        <v>54</v>
      </c>
      <c r="M41" s="35" t="s">
        <v>45</v>
      </c>
      <c r="N41" s="35" t="s">
        <v>46</v>
      </c>
      <c r="O41" s="35" t="s">
        <v>47</v>
      </c>
      <c r="P41" s="35" t="s">
        <v>56</v>
      </c>
      <c r="Q41" s="35" t="s">
        <v>58</v>
      </c>
      <c r="R41" s="35" t="s">
        <v>56</v>
      </c>
      <c r="S41" s="36">
        <v>46174</v>
      </c>
      <c r="T41" s="36"/>
      <c r="U41" s="35" t="s">
        <v>56</v>
      </c>
      <c r="V41" s="35" t="s">
        <v>143</v>
      </c>
      <c r="W41" s="35" t="s">
        <v>330</v>
      </c>
      <c r="X41" s="36">
        <v>46181</v>
      </c>
      <c r="Y41" s="35" t="s">
        <v>343</v>
      </c>
    </row>
    <row r="42" spans="1:25">
      <c r="A42" s="35" t="s">
        <v>503</v>
      </c>
      <c r="B42" s="35" t="s">
        <v>375</v>
      </c>
      <c r="C42" s="35" t="s">
        <v>504</v>
      </c>
      <c r="D42" s="35" t="s">
        <v>505</v>
      </c>
      <c r="E42" s="35" t="s">
        <v>506</v>
      </c>
      <c r="F42" s="35" t="s">
        <v>506</v>
      </c>
      <c r="G42" s="35" t="s">
        <v>507</v>
      </c>
      <c r="H42" s="35" t="s">
        <v>119</v>
      </c>
      <c r="I42" s="35" t="s">
        <v>51</v>
      </c>
      <c r="J42" s="35" t="s">
        <v>52</v>
      </c>
      <c r="K42" s="35" t="s">
        <v>53</v>
      </c>
      <c r="L42" s="35" t="s">
        <v>54</v>
      </c>
      <c r="M42" s="35" t="s">
        <v>55</v>
      </c>
      <c r="N42" s="35" t="s">
        <v>46</v>
      </c>
      <c r="O42" s="35" t="s">
        <v>138</v>
      </c>
      <c r="P42" s="35" t="s">
        <v>139</v>
      </c>
      <c r="Q42" s="35" t="s">
        <v>48</v>
      </c>
      <c r="R42" s="35" t="s">
        <v>140</v>
      </c>
      <c r="S42" s="36">
        <v>46117</v>
      </c>
      <c r="T42" s="36"/>
      <c r="U42" s="35" t="s">
        <v>141</v>
      </c>
      <c r="V42" s="35" t="s">
        <v>144</v>
      </c>
      <c r="W42" s="35" t="s">
        <v>338</v>
      </c>
      <c r="X42" s="36">
        <v>46182</v>
      </c>
      <c r="Y42" s="35" t="s">
        <v>389</v>
      </c>
    </row>
    <row r="43" spans="1:25">
      <c r="A43" s="35" t="s">
        <v>508</v>
      </c>
      <c r="B43" s="35" t="s">
        <v>69</v>
      </c>
      <c r="C43" s="35" t="s">
        <v>509</v>
      </c>
      <c r="D43" s="35" t="s">
        <v>510</v>
      </c>
      <c r="E43" s="35" t="s">
        <v>98</v>
      </c>
      <c r="F43" s="35" t="s">
        <v>98</v>
      </c>
      <c r="G43" s="35" t="s">
        <v>98</v>
      </c>
      <c r="H43" s="35" t="s">
        <v>356</v>
      </c>
      <c r="I43" s="35" t="s">
        <v>43</v>
      </c>
      <c r="J43" s="35" t="s">
        <v>357</v>
      </c>
      <c r="K43" s="35" t="s">
        <v>44</v>
      </c>
      <c r="L43" s="35" t="s">
        <v>511</v>
      </c>
      <c r="M43" s="35" t="s">
        <v>45</v>
      </c>
      <c r="N43" s="35" t="s">
        <v>46</v>
      </c>
      <c r="O43" s="35" t="s">
        <v>47</v>
      </c>
      <c r="P43" s="35" t="s">
        <v>47</v>
      </c>
      <c r="Q43" s="35" t="s">
        <v>48</v>
      </c>
      <c r="R43" s="35" t="s">
        <v>46</v>
      </c>
      <c r="S43" s="36">
        <v>46174</v>
      </c>
      <c r="T43" s="36">
        <v>46173</v>
      </c>
      <c r="U43" s="35" t="s">
        <v>49</v>
      </c>
      <c r="V43" s="35" t="s">
        <v>348</v>
      </c>
      <c r="W43" s="35" t="s">
        <v>365</v>
      </c>
      <c r="X43" s="36">
        <v>46187</v>
      </c>
      <c r="Y43" s="35" t="s">
        <v>350</v>
      </c>
    </row>
    <row r="44" spans="1:25">
      <c r="A44" s="35" t="s">
        <v>512</v>
      </c>
      <c r="B44" s="35" t="s">
        <v>513</v>
      </c>
      <c r="C44" s="35" t="s">
        <v>514</v>
      </c>
      <c r="D44" s="35" t="s">
        <v>515</v>
      </c>
      <c r="E44" s="35" t="s">
        <v>103</v>
      </c>
      <c r="F44" s="35" t="s">
        <v>103</v>
      </c>
      <c r="G44" s="35" t="s">
        <v>103</v>
      </c>
      <c r="H44" s="35" t="s">
        <v>397</v>
      </c>
      <c r="I44" s="35" t="s">
        <v>346</v>
      </c>
      <c r="J44" s="35" t="s">
        <v>424</v>
      </c>
      <c r="K44" s="35" t="s">
        <v>53</v>
      </c>
      <c r="L44" s="35" t="s">
        <v>54</v>
      </c>
      <c r="M44" s="35" t="s">
        <v>136</v>
      </c>
      <c r="N44" s="35" t="s">
        <v>46</v>
      </c>
      <c r="O44" s="35" t="s">
        <v>139</v>
      </c>
      <c r="P44" s="35" t="s">
        <v>138</v>
      </c>
      <c r="Q44" s="35" t="s">
        <v>48</v>
      </c>
      <c r="R44" s="35" t="s">
        <v>140</v>
      </c>
      <c r="S44" s="36">
        <v>46166</v>
      </c>
      <c r="T44" s="36"/>
      <c r="U44" s="35" t="s">
        <v>141</v>
      </c>
      <c r="V44" s="35" t="s">
        <v>435</v>
      </c>
      <c r="W44" s="35" t="s">
        <v>349</v>
      </c>
      <c r="X44" s="36">
        <v>46180</v>
      </c>
      <c r="Y44" s="35" t="s">
        <v>436</v>
      </c>
    </row>
    <row r="45" spans="1:25">
      <c r="A45" s="35" t="s">
        <v>516</v>
      </c>
      <c r="B45" s="35" t="s">
        <v>69</v>
      </c>
      <c r="C45" s="35" t="s">
        <v>517</v>
      </c>
      <c r="D45" s="35" t="s">
        <v>518</v>
      </c>
      <c r="E45" s="35" t="s">
        <v>90</v>
      </c>
      <c r="F45" s="35" t="s">
        <v>90</v>
      </c>
      <c r="G45" s="35" t="s">
        <v>90</v>
      </c>
      <c r="H45" s="35" t="s">
        <v>469</v>
      </c>
      <c r="I45" s="35" t="s">
        <v>129</v>
      </c>
      <c r="J45" s="35" t="s">
        <v>134</v>
      </c>
      <c r="K45" s="35" t="s">
        <v>44</v>
      </c>
      <c r="L45" s="35" t="s">
        <v>519</v>
      </c>
      <c r="M45" s="35" t="s">
        <v>136</v>
      </c>
      <c r="N45" s="35" t="s">
        <v>46</v>
      </c>
      <c r="O45" s="35" t="s">
        <v>139</v>
      </c>
      <c r="P45" s="35" t="s">
        <v>56</v>
      </c>
      <c r="Q45" s="35" t="s">
        <v>48</v>
      </c>
      <c r="R45" s="35" t="s">
        <v>137</v>
      </c>
      <c r="S45" s="36">
        <v>46081</v>
      </c>
      <c r="T45" s="36"/>
      <c r="U45" s="35" t="s">
        <v>56</v>
      </c>
      <c r="V45" s="35" t="s">
        <v>520</v>
      </c>
      <c r="W45" s="35" t="s">
        <v>338</v>
      </c>
      <c r="X45" s="36">
        <v>46185</v>
      </c>
      <c r="Y45" s="35" t="s">
        <v>521</v>
      </c>
    </row>
    <row r="46" spans="1:25">
      <c r="A46" s="35" t="s">
        <v>522</v>
      </c>
      <c r="B46" s="35" t="s">
        <v>69</v>
      </c>
      <c r="C46" s="35" t="s">
        <v>523</v>
      </c>
      <c r="D46" s="35" t="s">
        <v>524</v>
      </c>
      <c r="E46" s="35" t="s">
        <v>41</v>
      </c>
      <c r="F46" s="35" t="s">
        <v>41</v>
      </c>
      <c r="G46" s="35" t="s">
        <v>524</v>
      </c>
      <c r="H46" s="35" t="s">
        <v>525</v>
      </c>
      <c r="I46" s="35" t="s">
        <v>51</v>
      </c>
      <c r="J46" s="35" t="s">
        <v>52</v>
      </c>
      <c r="K46" s="35" t="s">
        <v>53</v>
      </c>
      <c r="L46" s="35" t="s">
        <v>54</v>
      </c>
      <c r="M46" s="35" t="s">
        <v>136</v>
      </c>
      <c r="N46" s="35" t="s">
        <v>46</v>
      </c>
      <c r="O46" s="35" t="s">
        <v>139</v>
      </c>
      <c r="P46" s="35" t="s">
        <v>138</v>
      </c>
      <c r="Q46" s="35" t="s">
        <v>48</v>
      </c>
      <c r="R46" s="35" t="s">
        <v>140</v>
      </c>
      <c r="S46" s="36">
        <v>46119</v>
      </c>
      <c r="T46" s="36"/>
      <c r="U46" s="35" t="s">
        <v>141</v>
      </c>
      <c r="V46" s="35" t="s">
        <v>412</v>
      </c>
      <c r="W46" s="35" t="s">
        <v>349</v>
      </c>
      <c r="X46" s="36">
        <v>46183</v>
      </c>
      <c r="Y46" s="35" t="s">
        <v>413</v>
      </c>
    </row>
    <row r="47" spans="1:25">
      <c r="A47" s="35" t="s">
        <v>526</v>
      </c>
      <c r="B47" s="35" t="s">
        <v>77</v>
      </c>
      <c r="C47" s="35" t="s">
        <v>527</v>
      </c>
      <c r="D47" s="35" t="s">
        <v>528</v>
      </c>
      <c r="E47" s="35" t="s">
        <v>529</v>
      </c>
      <c r="F47" s="35" t="s">
        <v>529</v>
      </c>
      <c r="G47" s="35" t="s">
        <v>529</v>
      </c>
      <c r="H47" s="35" t="s">
        <v>500</v>
      </c>
      <c r="I47" s="35" t="s">
        <v>132</v>
      </c>
      <c r="J47" s="35" t="s">
        <v>530</v>
      </c>
      <c r="K47" s="35" t="s">
        <v>53</v>
      </c>
      <c r="L47" s="35" t="s">
        <v>54</v>
      </c>
      <c r="M47" s="35" t="s">
        <v>45</v>
      </c>
      <c r="N47" s="35" t="s">
        <v>46</v>
      </c>
      <c r="O47" s="35" t="s">
        <v>138</v>
      </c>
      <c r="P47" s="35" t="s">
        <v>138</v>
      </c>
      <c r="Q47" s="35" t="s">
        <v>48</v>
      </c>
      <c r="R47" s="35" t="s">
        <v>140</v>
      </c>
      <c r="S47" s="36">
        <v>46058</v>
      </c>
      <c r="T47" s="36"/>
      <c r="U47" s="35" t="s">
        <v>141</v>
      </c>
      <c r="V47" s="35" t="s">
        <v>329</v>
      </c>
      <c r="W47" s="35" t="s">
        <v>338</v>
      </c>
      <c r="X47" s="36">
        <v>46180</v>
      </c>
      <c r="Y47" s="35" t="s">
        <v>331</v>
      </c>
    </row>
    <row r="48" spans="1:25">
      <c r="A48" s="35" t="s">
        <v>531</v>
      </c>
      <c r="B48" s="35" t="s">
        <v>60</v>
      </c>
      <c r="C48" s="35" t="s">
        <v>532</v>
      </c>
      <c r="D48" s="35" t="s">
        <v>533</v>
      </c>
      <c r="E48" s="35" t="s">
        <v>101</v>
      </c>
      <c r="F48" s="35" t="s">
        <v>101</v>
      </c>
      <c r="G48" s="35" t="s">
        <v>101</v>
      </c>
      <c r="H48" s="35" t="s">
        <v>114</v>
      </c>
      <c r="I48" s="35" t="s">
        <v>129</v>
      </c>
      <c r="J48" s="35" t="s">
        <v>134</v>
      </c>
      <c r="K48" s="35" t="s">
        <v>44</v>
      </c>
      <c r="L48" s="35" t="s">
        <v>534</v>
      </c>
      <c r="M48" s="35" t="s">
        <v>45</v>
      </c>
      <c r="N48" s="35" t="s">
        <v>46</v>
      </c>
      <c r="O48" s="35" t="s">
        <v>47</v>
      </c>
      <c r="P48" s="35" t="s">
        <v>47</v>
      </c>
      <c r="Q48" s="35" t="s">
        <v>48</v>
      </c>
      <c r="R48" s="35" t="s">
        <v>46</v>
      </c>
      <c r="S48" s="36">
        <v>46048</v>
      </c>
      <c r="T48" s="36">
        <v>46058</v>
      </c>
      <c r="U48" s="35" t="s">
        <v>49</v>
      </c>
      <c r="V48" s="35" t="s">
        <v>348</v>
      </c>
      <c r="W48" s="35" t="s">
        <v>338</v>
      </c>
      <c r="X48" s="36">
        <v>46183</v>
      </c>
      <c r="Y48" s="35" t="s">
        <v>350</v>
      </c>
    </row>
    <row r="49" spans="1:25">
      <c r="A49" s="35" t="s">
        <v>535</v>
      </c>
      <c r="B49" s="35" t="s">
        <v>70</v>
      </c>
      <c r="C49" s="35" t="s">
        <v>536</v>
      </c>
      <c r="D49" s="35" t="s">
        <v>537</v>
      </c>
      <c r="E49" s="35" t="s">
        <v>353</v>
      </c>
      <c r="F49" s="35" t="s">
        <v>353</v>
      </c>
      <c r="G49" s="35" t="s">
        <v>353</v>
      </c>
      <c r="H49" s="35" t="s">
        <v>123</v>
      </c>
      <c r="I49" s="35" t="s">
        <v>346</v>
      </c>
      <c r="J49" s="35" t="s">
        <v>347</v>
      </c>
      <c r="K49" s="35" t="s">
        <v>53</v>
      </c>
      <c r="L49" s="35" t="s">
        <v>54</v>
      </c>
      <c r="M49" s="35" t="s">
        <v>55</v>
      </c>
      <c r="N49" s="35" t="s">
        <v>137</v>
      </c>
      <c r="O49" s="35" t="s">
        <v>57</v>
      </c>
      <c r="P49" s="35" t="s">
        <v>139</v>
      </c>
      <c r="Q49" s="35" t="s">
        <v>58</v>
      </c>
      <c r="R49" s="35" t="s">
        <v>57</v>
      </c>
      <c r="S49" s="36">
        <v>46163</v>
      </c>
      <c r="T49" s="36"/>
      <c r="U49" s="35" t="s">
        <v>56</v>
      </c>
      <c r="V49" s="35" t="s">
        <v>147</v>
      </c>
      <c r="W49" s="35" t="s">
        <v>365</v>
      </c>
      <c r="X49" s="36">
        <v>46182</v>
      </c>
      <c r="Y49" s="35" t="s">
        <v>406</v>
      </c>
    </row>
    <row r="50" spans="1:25">
      <c r="A50" s="35" t="s">
        <v>538</v>
      </c>
      <c r="B50" s="35" t="s">
        <v>76</v>
      </c>
      <c r="C50" s="35" t="s">
        <v>539</v>
      </c>
      <c r="D50" s="35" t="s">
        <v>540</v>
      </c>
      <c r="E50" s="35" t="s">
        <v>88</v>
      </c>
      <c r="F50" s="35" t="s">
        <v>88</v>
      </c>
      <c r="G50" s="35" t="s">
        <v>88</v>
      </c>
      <c r="H50" s="35" t="s">
        <v>120</v>
      </c>
      <c r="I50" s="35" t="s">
        <v>132</v>
      </c>
      <c r="J50" s="35" t="s">
        <v>401</v>
      </c>
      <c r="K50" s="35" t="s">
        <v>53</v>
      </c>
      <c r="L50" s="35" t="s">
        <v>54</v>
      </c>
      <c r="M50" s="35" t="s">
        <v>136</v>
      </c>
      <c r="N50" s="35" t="s">
        <v>46</v>
      </c>
      <c r="O50" s="35" t="s">
        <v>139</v>
      </c>
      <c r="P50" s="35" t="s">
        <v>47</v>
      </c>
      <c r="Q50" s="35" t="s">
        <v>48</v>
      </c>
      <c r="R50" s="35" t="s">
        <v>46</v>
      </c>
      <c r="S50" s="36">
        <v>46169</v>
      </c>
      <c r="T50" s="36">
        <v>46175</v>
      </c>
      <c r="U50" s="35" t="s">
        <v>49</v>
      </c>
      <c r="V50" s="35" t="s">
        <v>348</v>
      </c>
      <c r="W50" s="35" t="s">
        <v>365</v>
      </c>
      <c r="X50" s="36">
        <v>46184</v>
      </c>
      <c r="Y50" s="35" t="s">
        <v>350</v>
      </c>
    </row>
    <row r="51" spans="1:25">
      <c r="A51" s="35" t="s">
        <v>541</v>
      </c>
      <c r="B51" s="35" t="s">
        <v>70</v>
      </c>
      <c r="C51" s="35" t="s">
        <v>542</v>
      </c>
      <c r="D51" s="35" t="s">
        <v>543</v>
      </c>
      <c r="E51" s="35" t="s">
        <v>427</v>
      </c>
      <c r="F51" s="35" t="s">
        <v>427</v>
      </c>
      <c r="G51" s="35" t="s">
        <v>544</v>
      </c>
      <c r="H51" s="35" t="s">
        <v>382</v>
      </c>
      <c r="I51" s="35" t="s">
        <v>131</v>
      </c>
      <c r="J51" s="35" t="s">
        <v>342</v>
      </c>
      <c r="K51" s="35" t="s">
        <v>53</v>
      </c>
      <c r="L51" s="35" t="s">
        <v>54</v>
      </c>
      <c r="M51" s="35" t="s">
        <v>45</v>
      </c>
      <c r="N51" s="35" t="s">
        <v>46</v>
      </c>
      <c r="O51" s="35" t="s">
        <v>138</v>
      </c>
      <c r="P51" s="35" t="s">
        <v>138</v>
      </c>
      <c r="Q51" s="35" t="s">
        <v>48</v>
      </c>
      <c r="R51" s="35" t="s">
        <v>140</v>
      </c>
      <c r="S51" s="36">
        <v>46150</v>
      </c>
      <c r="T51" s="36"/>
      <c r="U51" s="35" t="s">
        <v>141</v>
      </c>
      <c r="V51" s="35" t="s">
        <v>144</v>
      </c>
      <c r="W51" s="35" t="s">
        <v>338</v>
      </c>
      <c r="X51" s="36">
        <v>46185</v>
      </c>
      <c r="Y51" s="35" t="s">
        <v>389</v>
      </c>
    </row>
    <row r="52" spans="1:25">
      <c r="A52" s="35" t="s">
        <v>545</v>
      </c>
      <c r="B52" s="35" t="s">
        <v>403</v>
      </c>
      <c r="C52" s="35" t="s">
        <v>546</v>
      </c>
      <c r="D52" s="35" t="s">
        <v>547</v>
      </c>
      <c r="E52" s="35" t="s">
        <v>92</v>
      </c>
      <c r="F52" s="35" t="s">
        <v>92</v>
      </c>
      <c r="G52" s="35" t="s">
        <v>547</v>
      </c>
      <c r="H52" s="35" t="s">
        <v>400</v>
      </c>
      <c r="I52" s="35" t="s">
        <v>131</v>
      </c>
      <c r="J52" s="35" t="s">
        <v>342</v>
      </c>
      <c r="K52" s="35" t="s">
        <v>53</v>
      </c>
      <c r="L52" s="35" t="s">
        <v>54</v>
      </c>
      <c r="M52" s="35" t="s">
        <v>45</v>
      </c>
      <c r="N52" s="35" t="s">
        <v>46</v>
      </c>
      <c r="O52" s="35" t="s">
        <v>138</v>
      </c>
      <c r="P52" s="35" t="s">
        <v>138</v>
      </c>
      <c r="Q52" s="35" t="s">
        <v>48</v>
      </c>
      <c r="R52" s="35" t="s">
        <v>140</v>
      </c>
      <c r="S52" s="36">
        <v>46100</v>
      </c>
      <c r="T52" s="36"/>
      <c r="U52" s="35" t="s">
        <v>141</v>
      </c>
      <c r="V52" s="35" t="s">
        <v>412</v>
      </c>
      <c r="W52" s="35" t="s">
        <v>441</v>
      </c>
      <c r="X52" s="36">
        <v>46186</v>
      </c>
      <c r="Y52" s="35" t="s">
        <v>413</v>
      </c>
    </row>
    <row r="53" spans="1:25">
      <c r="A53" s="35" t="s">
        <v>548</v>
      </c>
      <c r="B53" s="35" t="s">
        <v>76</v>
      </c>
      <c r="C53" s="35" t="s">
        <v>494</v>
      </c>
      <c r="D53" s="35" t="s">
        <v>549</v>
      </c>
      <c r="E53" s="35" t="s">
        <v>550</v>
      </c>
      <c r="F53" s="35" t="s">
        <v>550</v>
      </c>
      <c r="G53" s="35" t="s">
        <v>550</v>
      </c>
      <c r="H53" s="35" t="s">
        <v>122</v>
      </c>
      <c r="I53" s="35" t="s">
        <v>43</v>
      </c>
      <c r="J53" s="35" t="s">
        <v>357</v>
      </c>
      <c r="K53" s="35" t="s">
        <v>44</v>
      </c>
      <c r="L53" s="35" t="s">
        <v>551</v>
      </c>
      <c r="M53" s="35" t="s">
        <v>45</v>
      </c>
      <c r="N53" s="35" t="s">
        <v>46</v>
      </c>
      <c r="O53" s="35" t="s">
        <v>47</v>
      </c>
      <c r="P53" s="35" t="s">
        <v>47</v>
      </c>
      <c r="Q53" s="35" t="s">
        <v>48</v>
      </c>
      <c r="R53" s="35" t="s">
        <v>46</v>
      </c>
      <c r="S53" s="36">
        <v>46122</v>
      </c>
      <c r="T53" s="36">
        <v>46134</v>
      </c>
      <c r="U53" s="35" t="s">
        <v>49</v>
      </c>
      <c r="V53" s="35" t="s">
        <v>348</v>
      </c>
      <c r="W53" s="35" t="s">
        <v>330</v>
      </c>
      <c r="X53" s="36">
        <v>46184</v>
      </c>
      <c r="Y53" s="35" t="s">
        <v>350</v>
      </c>
    </row>
    <row r="54" spans="1:25">
      <c r="A54" s="35" t="s">
        <v>552</v>
      </c>
      <c r="B54" s="35" t="s">
        <v>62</v>
      </c>
      <c r="C54" s="35" t="s">
        <v>553</v>
      </c>
      <c r="D54" s="35" t="s">
        <v>554</v>
      </c>
      <c r="E54" s="35" t="s">
        <v>409</v>
      </c>
      <c r="F54" s="35" t="s">
        <v>409</v>
      </c>
      <c r="G54" s="35" t="s">
        <v>409</v>
      </c>
      <c r="H54" s="35" t="s">
        <v>555</v>
      </c>
      <c r="I54" s="35" t="s">
        <v>129</v>
      </c>
      <c r="J54" s="35" t="s">
        <v>134</v>
      </c>
      <c r="K54" s="35" t="s">
        <v>44</v>
      </c>
      <c r="L54" s="35" t="s">
        <v>556</v>
      </c>
      <c r="M54" s="35" t="s">
        <v>45</v>
      </c>
      <c r="N54" s="35" t="s">
        <v>46</v>
      </c>
      <c r="O54" s="35" t="s">
        <v>47</v>
      </c>
      <c r="P54" s="35" t="s">
        <v>47</v>
      </c>
      <c r="Q54" s="35" t="s">
        <v>48</v>
      </c>
      <c r="R54" s="35" t="s">
        <v>46</v>
      </c>
      <c r="S54" s="36">
        <v>46141</v>
      </c>
      <c r="T54" s="36">
        <v>46153</v>
      </c>
      <c r="U54" s="35" t="s">
        <v>49</v>
      </c>
      <c r="V54" s="35" t="s">
        <v>348</v>
      </c>
      <c r="W54" s="35" t="s">
        <v>349</v>
      </c>
      <c r="X54" s="36">
        <v>46184</v>
      </c>
      <c r="Y54" s="35" t="s">
        <v>350</v>
      </c>
    </row>
    <row r="55" spans="1:25">
      <c r="A55" s="35" t="s">
        <v>557</v>
      </c>
      <c r="B55" s="35" t="s">
        <v>59</v>
      </c>
      <c r="C55" s="35" t="s">
        <v>558</v>
      </c>
      <c r="D55" s="35" t="s">
        <v>559</v>
      </c>
      <c r="E55" s="35" t="s">
        <v>560</v>
      </c>
      <c r="F55" s="35" t="s">
        <v>560</v>
      </c>
      <c r="G55" s="35" t="s">
        <v>561</v>
      </c>
      <c r="H55" s="35" t="s">
        <v>562</v>
      </c>
      <c r="I55" s="35" t="s">
        <v>130</v>
      </c>
      <c r="J55" s="35" t="s">
        <v>393</v>
      </c>
      <c r="K55" s="35" t="s">
        <v>53</v>
      </c>
      <c r="L55" s="35" t="s">
        <v>54</v>
      </c>
      <c r="M55" s="35" t="s">
        <v>45</v>
      </c>
      <c r="N55" s="35" t="s">
        <v>46</v>
      </c>
      <c r="O55" s="35" t="s">
        <v>138</v>
      </c>
      <c r="P55" s="35" t="s">
        <v>138</v>
      </c>
      <c r="Q55" s="35" t="s">
        <v>48</v>
      </c>
      <c r="R55" s="35" t="s">
        <v>140</v>
      </c>
      <c r="S55" s="36">
        <v>46042</v>
      </c>
      <c r="T55" s="36"/>
      <c r="U55" s="35" t="s">
        <v>141</v>
      </c>
      <c r="V55" s="35" t="s">
        <v>144</v>
      </c>
      <c r="W55" s="35" t="s">
        <v>349</v>
      </c>
      <c r="X55" s="36">
        <v>46185</v>
      </c>
      <c r="Y55" s="35" t="s">
        <v>389</v>
      </c>
    </row>
    <row r="56" spans="1:25">
      <c r="A56" s="35" t="s">
        <v>563</v>
      </c>
      <c r="B56" s="35" t="s">
        <v>16</v>
      </c>
      <c r="C56" s="35" t="s">
        <v>564</v>
      </c>
      <c r="D56" s="35" t="s">
        <v>565</v>
      </c>
      <c r="E56" s="35" t="s">
        <v>386</v>
      </c>
      <c r="F56" s="35" t="s">
        <v>386</v>
      </c>
      <c r="G56" s="35" t="s">
        <v>386</v>
      </c>
      <c r="H56" s="35" t="s">
        <v>423</v>
      </c>
      <c r="I56" s="35" t="s">
        <v>132</v>
      </c>
      <c r="J56" s="35" t="s">
        <v>530</v>
      </c>
      <c r="K56" s="35" t="s">
        <v>53</v>
      </c>
      <c r="L56" s="35" t="s">
        <v>54</v>
      </c>
      <c r="M56" s="35" t="s">
        <v>45</v>
      </c>
      <c r="N56" s="35" t="s">
        <v>46</v>
      </c>
      <c r="O56" s="35" t="s">
        <v>138</v>
      </c>
      <c r="P56" s="35" t="s">
        <v>138</v>
      </c>
      <c r="Q56" s="35" t="s">
        <v>48</v>
      </c>
      <c r="R56" s="35" t="s">
        <v>140</v>
      </c>
      <c r="S56" s="36">
        <v>46161</v>
      </c>
      <c r="T56" s="36"/>
      <c r="U56" s="35" t="s">
        <v>141</v>
      </c>
      <c r="V56" s="35" t="s">
        <v>435</v>
      </c>
      <c r="W56" s="35" t="s">
        <v>441</v>
      </c>
      <c r="X56" s="36">
        <v>46179</v>
      </c>
      <c r="Y56" s="35" t="s">
        <v>436</v>
      </c>
    </row>
    <row r="57" spans="1:25">
      <c r="A57" s="35" t="s">
        <v>566</v>
      </c>
      <c r="B57" s="35" t="s">
        <v>71</v>
      </c>
      <c r="C57" s="35" t="s">
        <v>567</v>
      </c>
      <c r="D57" s="35" t="s">
        <v>568</v>
      </c>
      <c r="E57" s="35" t="s">
        <v>103</v>
      </c>
      <c r="F57" s="35" t="s">
        <v>103</v>
      </c>
      <c r="G57" s="35" t="s">
        <v>568</v>
      </c>
      <c r="H57" s="35" t="s">
        <v>108</v>
      </c>
      <c r="I57" s="35" t="s">
        <v>131</v>
      </c>
      <c r="J57" s="35" t="s">
        <v>342</v>
      </c>
      <c r="K57" s="35" t="s">
        <v>53</v>
      </c>
      <c r="L57" s="35" t="s">
        <v>54</v>
      </c>
      <c r="M57" s="35" t="s">
        <v>45</v>
      </c>
      <c r="N57" s="35" t="s">
        <v>46</v>
      </c>
      <c r="O57" s="35" t="s">
        <v>138</v>
      </c>
      <c r="P57" s="35" t="s">
        <v>138</v>
      </c>
      <c r="Q57" s="35" t="s">
        <v>48</v>
      </c>
      <c r="R57" s="35" t="s">
        <v>140</v>
      </c>
      <c r="S57" s="36">
        <v>46079</v>
      </c>
      <c r="T57" s="36"/>
      <c r="U57" s="35" t="s">
        <v>141</v>
      </c>
      <c r="V57" s="35" t="s">
        <v>412</v>
      </c>
      <c r="W57" s="35" t="s">
        <v>365</v>
      </c>
      <c r="X57" s="36">
        <v>46183</v>
      </c>
      <c r="Y57" s="35" t="s">
        <v>413</v>
      </c>
    </row>
    <row r="58" spans="1:25">
      <c r="A58" s="35" t="s">
        <v>569</v>
      </c>
      <c r="B58" s="35" t="s">
        <v>471</v>
      </c>
      <c r="C58" s="35" t="s">
        <v>570</v>
      </c>
      <c r="D58" s="35" t="s">
        <v>571</v>
      </c>
      <c r="E58" s="35" t="s">
        <v>422</v>
      </c>
      <c r="F58" s="35" t="s">
        <v>422</v>
      </c>
      <c r="G58" s="35" t="s">
        <v>422</v>
      </c>
      <c r="H58" s="35" t="s">
        <v>111</v>
      </c>
      <c r="I58" s="35" t="s">
        <v>131</v>
      </c>
      <c r="J58" s="35" t="s">
        <v>342</v>
      </c>
      <c r="K58" s="35" t="s">
        <v>53</v>
      </c>
      <c r="L58" s="35" t="s">
        <v>54</v>
      </c>
      <c r="M58" s="35" t="s">
        <v>55</v>
      </c>
      <c r="N58" s="35" t="s">
        <v>137</v>
      </c>
      <c r="O58" s="35" t="s">
        <v>57</v>
      </c>
      <c r="P58" s="35" t="s">
        <v>139</v>
      </c>
      <c r="Q58" s="35" t="s">
        <v>58</v>
      </c>
      <c r="R58" s="35" t="s">
        <v>57</v>
      </c>
      <c r="S58" s="36">
        <v>46071</v>
      </c>
      <c r="T58" s="36"/>
      <c r="U58" s="35" t="s">
        <v>56</v>
      </c>
      <c r="V58" s="35" t="s">
        <v>147</v>
      </c>
      <c r="W58" s="35" t="s">
        <v>365</v>
      </c>
      <c r="X58" s="36">
        <v>46183</v>
      </c>
      <c r="Y58" s="35" t="s">
        <v>406</v>
      </c>
    </row>
    <row r="59" spans="1:25">
      <c r="A59" s="35" t="s">
        <v>572</v>
      </c>
      <c r="B59" s="35" t="s">
        <v>65</v>
      </c>
      <c r="C59" s="35" t="s">
        <v>573</v>
      </c>
      <c r="D59" s="35" t="s">
        <v>574</v>
      </c>
      <c r="E59" s="35" t="s">
        <v>95</v>
      </c>
      <c r="F59" s="35" t="s">
        <v>95</v>
      </c>
      <c r="G59" s="35" t="s">
        <v>95</v>
      </c>
      <c r="H59" s="35" t="s">
        <v>115</v>
      </c>
      <c r="I59" s="35" t="s">
        <v>130</v>
      </c>
      <c r="J59" s="35" t="s">
        <v>575</v>
      </c>
      <c r="K59" s="35" t="s">
        <v>53</v>
      </c>
      <c r="L59" s="35" t="s">
        <v>54</v>
      </c>
      <c r="M59" s="35" t="s">
        <v>136</v>
      </c>
      <c r="N59" s="35" t="s">
        <v>46</v>
      </c>
      <c r="O59" s="35" t="s">
        <v>139</v>
      </c>
      <c r="P59" s="35" t="s">
        <v>138</v>
      </c>
      <c r="Q59" s="35" t="s">
        <v>48</v>
      </c>
      <c r="R59" s="35" t="s">
        <v>140</v>
      </c>
      <c r="S59" s="36">
        <v>46108</v>
      </c>
      <c r="T59" s="36"/>
      <c r="U59" s="35" t="s">
        <v>141</v>
      </c>
      <c r="V59" s="35" t="s">
        <v>329</v>
      </c>
      <c r="W59" s="35" t="s">
        <v>441</v>
      </c>
      <c r="X59" s="36">
        <v>46182</v>
      </c>
      <c r="Y59" s="35" t="s">
        <v>331</v>
      </c>
    </row>
    <row r="60" spans="1:25">
      <c r="A60" s="35" t="s">
        <v>576</v>
      </c>
      <c r="B60" s="35" t="s">
        <v>71</v>
      </c>
      <c r="C60" s="35" t="s">
        <v>577</v>
      </c>
      <c r="D60" s="35" t="s">
        <v>578</v>
      </c>
      <c r="E60" s="35" t="s">
        <v>405</v>
      </c>
      <c r="F60" s="35" t="s">
        <v>405</v>
      </c>
      <c r="G60" s="35" t="s">
        <v>405</v>
      </c>
      <c r="H60" s="35" t="s">
        <v>108</v>
      </c>
      <c r="I60" s="35" t="s">
        <v>43</v>
      </c>
      <c r="J60" s="35" t="s">
        <v>357</v>
      </c>
      <c r="K60" s="35" t="s">
        <v>44</v>
      </c>
      <c r="L60" s="35" t="s">
        <v>579</v>
      </c>
      <c r="M60" s="35" t="s">
        <v>45</v>
      </c>
      <c r="N60" s="35" t="s">
        <v>46</v>
      </c>
      <c r="O60" s="35" t="s">
        <v>47</v>
      </c>
      <c r="P60" s="35" t="s">
        <v>56</v>
      </c>
      <c r="Q60" s="35" t="s">
        <v>58</v>
      </c>
      <c r="R60" s="35" t="s">
        <v>56</v>
      </c>
      <c r="S60" s="36">
        <v>46054</v>
      </c>
      <c r="T60" s="36"/>
      <c r="U60" s="35" t="s">
        <v>56</v>
      </c>
      <c r="V60" s="35" t="s">
        <v>143</v>
      </c>
      <c r="W60" s="35" t="s">
        <v>330</v>
      </c>
      <c r="X60" s="36">
        <v>46186</v>
      </c>
      <c r="Y60" s="35" t="s">
        <v>343</v>
      </c>
    </row>
    <row r="61" spans="1:25">
      <c r="A61" s="35" t="s">
        <v>580</v>
      </c>
      <c r="B61" s="35" t="s">
        <v>64</v>
      </c>
      <c r="C61" s="35" t="s">
        <v>581</v>
      </c>
      <c r="D61" s="35" t="s">
        <v>582</v>
      </c>
      <c r="E61" s="35" t="s">
        <v>83</v>
      </c>
      <c r="F61" s="35" t="s">
        <v>83</v>
      </c>
      <c r="G61" s="35" t="s">
        <v>83</v>
      </c>
      <c r="H61" s="35" t="s">
        <v>583</v>
      </c>
      <c r="I61" s="35" t="s">
        <v>346</v>
      </c>
      <c r="J61" s="35" t="s">
        <v>347</v>
      </c>
      <c r="K61" s="35" t="s">
        <v>53</v>
      </c>
      <c r="L61" s="35" t="s">
        <v>54</v>
      </c>
      <c r="M61" s="35" t="s">
        <v>55</v>
      </c>
      <c r="N61" s="35" t="s">
        <v>46</v>
      </c>
      <c r="O61" s="35" t="s">
        <v>47</v>
      </c>
      <c r="P61" s="35" t="s">
        <v>139</v>
      </c>
      <c r="Q61" s="35" t="s">
        <v>48</v>
      </c>
      <c r="R61" s="35" t="s">
        <v>46</v>
      </c>
      <c r="S61" s="36">
        <v>46066</v>
      </c>
      <c r="T61" s="36">
        <v>46082</v>
      </c>
      <c r="U61" s="35" t="s">
        <v>49</v>
      </c>
      <c r="V61" s="35" t="s">
        <v>348</v>
      </c>
      <c r="W61" s="35" t="s">
        <v>349</v>
      </c>
      <c r="X61" s="36">
        <v>46179</v>
      </c>
      <c r="Y61" s="35" t="s">
        <v>350</v>
      </c>
    </row>
    <row r="62" spans="1:25">
      <c r="A62" s="35" t="s">
        <v>584</v>
      </c>
      <c r="B62" s="35" t="s">
        <v>391</v>
      </c>
      <c r="C62" s="35" t="s">
        <v>585</v>
      </c>
      <c r="D62" s="35" t="s">
        <v>586</v>
      </c>
      <c r="E62" s="35" t="s">
        <v>334</v>
      </c>
      <c r="F62" s="35" t="s">
        <v>334</v>
      </c>
      <c r="G62" s="35" t="s">
        <v>334</v>
      </c>
      <c r="H62" s="35" t="s">
        <v>108</v>
      </c>
      <c r="I62" s="35" t="s">
        <v>346</v>
      </c>
      <c r="J62" s="35" t="s">
        <v>347</v>
      </c>
      <c r="K62" s="35" t="s">
        <v>53</v>
      </c>
      <c r="L62" s="35" t="s">
        <v>54</v>
      </c>
      <c r="M62" s="35" t="s">
        <v>45</v>
      </c>
      <c r="N62" s="35" t="s">
        <v>137</v>
      </c>
      <c r="O62" s="35" t="s">
        <v>57</v>
      </c>
      <c r="P62" s="35" t="s">
        <v>57</v>
      </c>
      <c r="Q62" s="35" t="s">
        <v>58</v>
      </c>
      <c r="R62" s="35" t="s">
        <v>57</v>
      </c>
      <c r="S62" s="36">
        <v>46078</v>
      </c>
      <c r="T62" s="36"/>
      <c r="U62" s="35" t="s">
        <v>56</v>
      </c>
      <c r="V62" s="35" t="s">
        <v>147</v>
      </c>
      <c r="W62" s="35" t="s">
        <v>330</v>
      </c>
      <c r="X62" s="36">
        <v>46180</v>
      </c>
      <c r="Y62" s="35" t="s">
        <v>406</v>
      </c>
    </row>
    <row r="63" spans="1:25">
      <c r="A63" s="35" t="s">
        <v>587</v>
      </c>
      <c r="B63" s="35" t="s">
        <v>471</v>
      </c>
      <c r="C63" s="35" t="s">
        <v>588</v>
      </c>
      <c r="D63" s="35" t="s">
        <v>589</v>
      </c>
      <c r="E63" s="35" t="s">
        <v>478</v>
      </c>
      <c r="F63" s="35" t="s">
        <v>478</v>
      </c>
      <c r="G63" s="35" t="s">
        <v>478</v>
      </c>
      <c r="H63" s="35" t="s">
        <v>118</v>
      </c>
      <c r="I63" s="35" t="s">
        <v>130</v>
      </c>
      <c r="J63" s="35" t="s">
        <v>393</v>
      </c>
      <c r="K63" s="35" t="s">
        <v>53</v>
      </c>
      <c r="L63" s="35" t="s">
        <v>54</v>
      </c>
      <c r="M63" s="35" t="s">
        <v>136</v>
      </c>
      <c r="N63" s="35" t="s">
        <v>137</v>
      </c>
      <c r="O63" s="35" t="s">
        <v>139</v>
      </c>
      <c r="P63" s="35" t="s">
        <v>57</v>
      </c>
      <c r="Q63" s="35" t="s">
        <v>58</v>
      </c>
      <c r="R63" s="35" t="s">
        <v>57</v>
      </c>
      <c r="S63" s="36">
        <v>46056</v>
      </c>
      <c r="T63" s="36"/>
      <c r="U63" s="35" t="s">
        <v>56</v>
      </c>
      <c r="V63" s="35" t="s">
        <v>147</v>
      </c>
      <c r="W63" s="35" t="s">
        <v>365</v>
      </c>
      <c r="X63" s="36">
        <v>46185</v>
      </c>
      <c r="Y63" s="35" t="s">
        <v>406</v>
      </c>
    </row>
    <row r="64" spans="1:25">
      <c r="A64" s="35" t="s">
        <v>590</v>
      </c>
      <c r="B64" s="35" t="s">
        <v>78</v>
      </c>
      <c r="C64" s="35" t="s">
        <v>591</v>
      </c>
      <c r="D64" s="35" t="s">
        <v>592</v>
      </c>
      <c r="E64" s="35" t="s">
        <v>478</v>
      </c>
      <c r="F64" s="35" t="s">
        <v>478</v>
      </c>
      <c r="G64" s="35" t="s">
        <v>478</v>
      </c>
      <c r="H64" s="35" t="s">
        <v>593</v>
      </c>
      <c r="I64" s="35" t="s">
        <v>346</v>
      </c>
      <c r="J64" s="35" t="s">
        <v>594</v>
      </c>
      <c r="K64" s="35" t="s">
        <v>53</v>
      </c>
      <c r="L64" s="35" t="s">
        <v>54</v>
      </c>
      <c r="M64" s="35" t="s">
        <v>45</v>
      </c>
      <c r="N64" s="35" t="s">
        <v>46</v>
      </c>
      <c r="O64" s="35" t="s">
        <v>138</v>
      </c>
      <c r="P64" s="35" t="s">
        <v>138</v>
      </c>
      <c r="Q64" s="35" t="s">
        <v>48</v>
      </c>
      <c r="R64" s="35" t="s">
        <v>140</v>
      </c>
      <c r="S64" s="36">
        <v>46125</v>
      </c>
      <c r="T64" s="36"/>
      <c r="U64" s="35" t="s">
        <v>141</v>
      </c>
      <c r="V64" s="35" t="s">
        <v>329</v>
      </c>
      <c r="W64" s="35" t="s">
        <v>349</v>
      </c>
      <c r="X64" s="36">
        <v>46184</v>
      </c>
      <c r="Y64" s="35" t="s">
        <v>331</v>
      </c>
    </row>
    <row r="65" spans="1:25">
      <c r="A65" s="35" t="s">
        <v>595</v>
      </c>
      <c r="B65" s="35" t="s">
        <v>60</v>
      </c>
      <c r="C65" s="35" t="s">
        <v>596</v>
      </c>
      <c r="D65" s="35" t="s">
        <v>597</v>
      </c>
      <c r="E65" s="35" t="s">
        <v>103</v>
      </c>
      <c r="F65" s="35" t="s">
        <v>103</v>
      </c>
      <c r="G65" s="35" t="s">
        <v>103</v>
      </c>
      <c r="H65" s="35" t="s">
        <v>598</v>
      </c>
      <c r="I65" s="35" t="s">
        <v>43</v>
      </c>
      <c r="J65" s="35" t="s">
        <v>357</v>
      </c>
      <c r="K65" s="35" t="s">
        <v>44</v>
      </c>
      <c r="L65" s="35" t="s">
        <v>599</v>
      </c>
      <c r="M65" s="35" t="s">
        <v>45</v>
      </c>
      <c r="N65" s="35" t="s">
        <v>46</v>
      </c>
      <c r="O65" s="35" t="s">
        <v>56</v>
      </c>
      <c r="P65" s="35" t="s">
        <v>56</v>
      </c>
      <c r="Q65" s="35" t="s">
        <v>48</v>
      </c>
      <c r="R65" s="35" t="s">
        <v>137</v>
      </c>
      <c r="S65" s="36">
        <v>46064</v>
      </c>
      <c r="T65" s="36"/>
      <c r="U65" s="35" t="s">
        <v>56</v>
      </c>
      <c r="V65" s="35" t="s">
        <v>148</v>
      </c>
      <c r="W65" s="35" t="s">
        <v>441</v>
      </c>
      <c r="X65" s="36">
        <v>46182</v>
      </c>
      <c r="Y65" s="35" t="s">
        <v>359</v>
      </c>
    </row>
    <row r="66" spans="1:25">
      <c r="A66" s="35" t="s">
        <v>600</v>
      </c>
      <c r="B66" s="35" t="s">
        <v>78</v>
      </c>
      <c r="C66" s="35" t="s">
        <v>601</v>
      </c>
      <c r="D66" s="35" t="s">
        <v>602</v>
      </c>
      <c r="E66" s="35" t="s">
        <v>93</v>
      </c>
      <c r="F66" s="35" t="s">
        <v>93</v>
      </c>
      <c r="G66" s="35" t="s">
        <v>93</v>
      </c>
      <c r="H66" s="35" t="s">
        <v>423</v>
      </c>
      <c r="I66" s="35" t="s">
        <v>131</v>
      </c>
      <c r="J66" s="35" t="s">
        <v>342</v>
      </c>
      <c r="K66" s="35" t="s">
        <v>53</v>
      </c>
      <c r="L66" s="35" t="s">
        <v>54</v>
      </c>
      <c r="M66" s="35" t="s">
        <v>45</v>
      </c>
      <c r="N66" s="35" t="s">
        <v>137</v>
      </c>
      <c r="O66" s="35" t="s">
        <v>57</v>
      </c>
      <c r="P66" s="35" t="s">
        <v>57</v>
      </c>
      <c r="Q66" s="35" t="s">
        <v>58</v>
      </c>
      <c r="R66" s="35" t="s">
        <v>57</v>
      </c>
      <c r="S66" s="36">
        <v>46174</v>
      </c>
      <c r="T66" s="36"/>
      <c r="U66" s="35" t="s">
        <v>56</v>
      </c>
      <c r="V66" s="35" t="s">
        <v>147</v>
      </c>
      <c r="W66" s="35" t="s">
        <v>349</v>
      </c>
      <c r="X66" s="36">
        <v>46183</v>
      </c>
      <c r="Y66" s="35" t="s">
        <v>406</v>
      </c>
    </row>
    <row r="67" spans="1:25">
      <c r="A67" s="35" t="s">
        <v>603</v>
      </c>
      <c r="B67" s="35" t="s">
        <v>403</v>
      </c>
      <c r="C67" s="35" t="s">
        <v>604</v>
      </c>
      <c r="D67" s="35" t="s">
        <v>605</v>
      </c>
      <c r="E67" s="35" t="s">
        <v>102</v>
      </c>
      <c r="F67" s="35" t="s">
        <v>102</v>
      </c>
      <c r="G67" s="35" t="s">
        <v>102</v>
      </c>
      <c r="H67" s="35" t="s">
        <v>606</v>
      </c>
      <c r="I67" s="35" t="s">
        <v>132</v>
      </c>
      <c r="J67" s="35" t="s">
        <v>401</v>
      </c>
      <c r="K67" s="35" t="s">
        <v>53</v>
      </c>
      <c r="L67" s="35" t="s">
        <v>54</v>
      </c>
      <c r="M67" s="35" t="s">
        <v>55</v>
      </c>
      <c r="N67" s="35" t="s">
        <v>46</v>
      </c>
      <c r="O67" s="35" t="s">
        <v>47</v>
      </c>
      <c r="P67" s="35" t="s">
        <v>139</v>
      </c>
      <c r="Q67" s="35" t="s">
        <v>48</v>
      </c>
      <c r="R67" s="35" t="s">
        <v>137</v>
      </c>
      <c r="S67" s="36">
        <v>46108</v>
      </c>
      <c r="T67" s="36"/>
      <c r="U67" s="35" t="s">
        <v>56</v>
      </c>
      <c r="V67" s="35" t="s">
        <v>364</v>
      </c>
      <c r="W67" s="35" t="s">
        <v>365</v>
      </c>
      <c r="X67" s="36">
        <v>46183</v>
      </c>
      <c r="Y67" s="35" t="s">
        <v>366</v>
      </c>
    </row>
    <row r="68" spans="1:25">
      <c r="A68" s="35" t="s">
        <v>607</v>
      </c>
      <c r="B68" s="35" t="s">
        <v>74</v>
      </c>
      <c r="C68" s="35" t="s">
        <v>608</v>
      </c>
      <c r="D68" s="35" t="s">
        <v>609</v>
      </c>
      <c r="E68" s="35" t="s">
        <v>386</v>
      </c>
      <c r="F68" s="35" t="s">
        <v>386</v>
      </c>
      <c r="G68" s="35" t="s">
        <v>386</v>
      </c>
      <c r="H68" s="35" t="s">
        <v>610</v>
      </c>
      <c r="I68" s="35" t="s">
        <v>51</v>
      </c>
      <c r="J68" s="35" t="s">
        <v>611</v>
      </c>
      <c r="K68" s="35" t="s">
        <v>53</v>
      </c>
      <c r="L68" s="35" t="s">
        <v>54</v>
      </c>
      <c r="M68" s="35" t="s">
        <v>55</v>
      </c>
      <c r="N68" s="35" t="s">
        <v>46</v>
      </c>
      <c r="O68" s="35" t="s">
        <v>138</v>
      </c>
      <c r="P68" s="35" t="s">
        <v>139</v>
      </c>
      <c r="Q68" s="35" t="s">
        <v>48</v>
      </c>
      <c r="R68" s="35" t="s">
        <v>140</v>
      </c>
      <c r="S68" s="36">
        <v>46161</v>
      </c>
      <c r="T68" s="36"/>
      <c r="U68" s="35" t="s">
        <v>141</v>
      </c>
      <c r="V68" s="35" t="s">
        <v>435</v>
      </c>
      <c r="W68" s="35" t="s">
        <v>441</v>
      </c>
      <c r="X68" s="36">
        <v>46179</v>
      </c>
      <c r="Y68" s="35" t="s">
        <v>436</v>
      </c>
    </row>
    <row r="69" spans="1:25">
      <c r="A69" s="35" t="s">
        <v>612</v>
      </c>
      <c r="B69" s="35" t="s">
        <v>67</v>
      </c>
      <c r="C69" s="35" t="s">
        <v>613</v>
      </c>
      <c r="D69" s="35" t="s">
        <v>614</v>
      </c>
      <c r="E69" s="35" t="s">
        <v>334</v>
      </c>
      <c r="F69" s="35" t="s">
        <v>334</v>
      </c>
      <c r="G69" s="35" t="s">
        <v>615</v>
      </c>
      <c r="H69" s="35" t="s">
        <v>492</v>
      </c>
      <c r="I69" s="35" t="s">
        <v>131</v>
      </c>
      <c r="J69" s="35" t="s">
        <v>342</v>
      </c>
      <c r="K69" s="35" t="s">
        <v>53</v>
      </c>
      <c r="L69" s="35" t="s">
        <v>54</v>
      </c>
      <c r="M69" s="35" t="s">
        <v>45</v>
      </c>
      <c r="N69" s="35" t="s">
        <v>46</v>
      </c>
      <c r="O69" s="35" t="s">
        <v>138</v>
      </c>
      <c r="P69" s="35" t="s">
        <v>138</v>
      </c>
      <c r="Q69" s="35" t="s">
        <v>48</v>
      </c>
      <c r="R69" s="35" t="s">
        <v>140</v>
      </c>
      <c r="S69" s="36">
        <v>46085</v>
      </c>
      <c r="T69" s="36"/>
      <c r="U69" s="35" t="s">
        <v>141</v>
      </c>
      <c r="V69" s="35" t="s">
        <v>144</v>
      </c>
      <c r="W69" s="35" t="s">
        <v>365</v>
      </c>
      <c r="X69" s="36">
        <v>46177</v>
      </c>
      <c r="Y69" s="35" t="s">
        <v>389</v>
      </c>
    </row>
    <row r="70" spans="1:25">
      <c r="A70" s="35" t="s">
        <v>616</v>
      </c>
      <c r="B70" s="35" t="s">
        <v>71</v>
      </c>
      <c r="C70" s="35" t="s">
        <v>617</v>
      </c>
      <c r="D70" s="35" t="s">
        <v>618</v>
      </c>
      <c r="E70" s="35" t="s">
        <v>97</v>
      </c>
      <c r="F70" s="35" t="s">
        <v>97</v>
      </c>
      <c r="G70" s="35" t="s">
        <v>97</v>
      </c>
      <c r="H70" s="35" t="s">
        <v>619</v>
      </c>
      <c r="I70" s="35" t="s">
        <v>131</v>
      </c>
      <c r="J70" s="35" t="s">
        <v>342</v>
      </c>
      <c r="K70" s="35" t="s">
        <v>53</v>
      </c>
      <c r="L70" s="35" t="s">
        <v>54</v>
      </c>
      <c r="M70" s="35" t="s">
        <v>45</v>
      </c>
      <c r="N70" s="35" t="s">
        <v>137</v>
      </c>
      <c r="O70" s="35" t="s">
        <v>57</v>
      </c>
      <c r="P70" s="35" t="s">
        <v>57</v>
      </c>
      <c r="Q70" s="35" t="s">
        <v>58</v>
      </c>
      <c r="R70" s="35" t="s">
        <v>57</v>
      </c>
      <c r="S70" s="36">
        <v>46151</v>
      </c>
      <c r="T70" s="36"/>
      <c r="U70" s="35" t="s">
        <v>56</v>
      </c>
      <c r="V70" s="35" t="s">
        <v>147</v>
      </c>
      <c r="W70" s="35" t="s">
        <v>330</v>
      </c>
      <c r="X70" s="36">
        <v>46176</v>
      </c>
      <c r="Y70" s="35" t="s">
        <v>406</v>
      </c>
    </row>
    <row r="71" spans="1:25">
      <c r="A71" s="35" t="s">
        <v>620</v>
      </c>
      <c r="B71" s="35" t="s">
        <v>64</v>
      </c>
      <c r="C71" s="35" t="s">
        <v>621</v>
      </c>
      <c r="D71" s="35" t="s">
        <v>622</v>
      </c>
      <c r="E71" s="35" t="s">
        <v>97</v>
      </c>
      <c r="F71" s="35" t="s">
        <v>97</v>
      </c>
      <c r="G71" s="35" t="s">
        <v>97</v>
      </c>
      <c r="H71" s="35" t="s">
        <v>500</v>
      </c>
      <c r="I71" s="35" t="s">
        <v>51</v>
      </c>
      <c r="J71" s="35" t="s">
        <v>52</v>
      </c>
      <c r="K71" s="35" t="s">
        <v>53</v>
      </c>
      <c r="L71" s="35" t="s">
        <v>54</v>
      </c>
      <c r="M71" s="35" t="s">
        <v>45</v>
      </c>
      <c r="N71" s="35" t="s">
        <v>46</v>
      </c>
      <c r="O71" s="35" t="s">
        <v>47</v>
      </c>
      <c r="P71" s="35" t="s">
        <v>56</v>
      </c>
      <c r="Q71" s="35" t="s">
        <v>58</v>
      </c>
      <c r="R71" s="35" t="s">
        <v>56</v>
      </c>
      <c r="S71" s="36">
        <v>46172</v>
      </c>
      <c r="T71" s="36"/>
      <c r="U71" s="35" t="s">
        <v>56</v>
      </c>
      <c r="V71" s="35" t="s">
        <v>143</v>
      </c>
      <c r="W71" s="35" t="s">
        <v>349</v>
      </c>
      <c r="X71" s="36">
        <v>46181</v>
      </c>
      <c r="Y71" s="35" t="s">
        <v>343</v>
      </c>
    </row>
    <row r="72" spans="1:25">
      <c r="A72" s="35" t="s">
        <v>623</v>
      </c>
      <c r="B72" s="35" t="s">
        <v>68</v>
      </c>
      <c r="C72" s="35" t="s">
        <v>624</v>
      </c>
      <c r="D72" s="35" t="s">
        <v>625</v>
      </c>
      <c r="E72" s="35" t="s">
        <v>101</v>
      </c>
      <c r="F72" s="35" t="s">
        <v>101</v>
      </c>
      <c r="G72" s="35" t="s">
        <v>101</v>
      </c>
      <c r="H72" s="35" t="s">
        <v>128</v>
      </c>
      <c r="I72" s="35" t="s">
        <v>51</v>
      </c>
      <c r="J72" s="35" t="s">
        <v>52</v>
      </c>
      <c r="K72" s="35" t="s">
        <v>53</v>
      </c>
      <c r="L72" s="35" t="s">
        <v>54</v>
      </c>
      <c r="M72" s="35" t="s">
        <v>55</v>
      </c>
      <c r="N72" s="35" t="s">
        <v>137</v>
      </c>
      <c r="O72" s="35" t="s">
        <v>57</v>
      </c>
      <c r="P72" s="35" t="s">
        <v>139</v>
      </c>
      <c r="Q72" s="35" t="s">
        <v>58</v>
      </c>
      <c r="R72" s="35" t="s">
        <v>57</v>
      </c>
      <c r="S72" s="36">
        <v>46117</v>
      </c>
      <c r="T72" s="36"/>
      <c r="U72" s="35" t="s">
        <v>56</v>
      </c>
      <c r="V72" s="35" t="s">
        <v>147</v>
      </c>
      <c r="W72" s="35" t="s">
        <v>338</v>
      </c>
      <c r="X72" s="36">
        <v>46177</v>
      </c>
      <c r="Y72" s="35" t="s">
        <v>406</v>
      </c>
    </row>
    <row r="73" spans="1:25">
      <c r="A73" s="35" t="s">
        <v>626</v>
      </c>
      <c r="B73" s="35" t="s">
        <v>63</v>
      </c>
      <c r="C73" s="35" t="s">
        <v>627</v>
      </c>
      <c r="D73" s="35" t="s">
        <v>628</v>
      </c>
      <c r="E73" s="35" t="s">
        <v>529</v>
      </c>
      <c r="F73" s="35" t="s">
        <v>529</v>
      </c>
      <c r="G73" s="35" t="s">
        <v>529</v>
      </c>
      <c r="H73" s="35" t="s">
        <v>117</v>
      </c>
      <c r="I73" s="35" t="s">
        <v>51</v>
      </c>
      <c r="J73" s="35" t="s">
        <v>52</v>
      </c>
      <c r="K73" s="35" t="s">
        <v>53</v>
      </c>
      <c r="L73" s="35" t="s">
        <v>54</v>
      </c>
      <c r="M73" s="35" t="s">
        <v>45</v>
      </c>
      <c r="N73" s="35" t="s">
        <v>46</v>
      </c>
      <c r="O73" s="35" t="s">
        <v>47</v>
      </c>
      <c r="P73" s="35" t="s">
        <v>56</v>
      </c>
      <c r="Q73" s="35" t="s">
        <v>48</v>
      </c>
      <c r="R73" s="35" t="s">
        <v>137</v>
      </c>
      <c r="S73" s="36">
        <v>46171</v>
      </c>
      <c r="T73" s="36"/>
      <c r="U73" s="35" t="s">
        <v>56</v>
      </c>
      <c r="V73" s="35" t="s">
        <v>364</v>
      </c>
      <c r="W73" s="35" t="s">
        <v>441</v>
      </c>
      <c r="X73" s="36">
        <v>46185</v>
      </c>
      <c r="Y73" s="35" t="s">
        <v>366</v>
      </c>
    </row>
    <row r="74" spans="1:25">
      <c r="A74" s="35" t="s">
        <v>629</v>
      </c>
      <c r="B74" s="35" t="s">
        <v>403</v>
      </c>
      <c r="C74" s="35" t="s">
        <v>630</v>
      </c>
      <c r="D74" s="35" t="s">
        <v>631</v>
      </c>
      <c r="E74" s="35" t="s">
        <v>96</v>
      </c>
      <c r="F74" s="35" t="s">
        <v>96</v>
      </c>
      <c r="G74" s="35" t="s">
        <v>96</v>
      </c>
      <c r="H74" s="35" t="s">
        <v>619</v>
      </c>
      <c r="I74" s="35" t="s">
        <v>51</v>
      </c>
      <c r="J74" s="35" t="s">
        <v>52</v>
      </c>
      <c r="K74" s="35" t="s">
        <v>53</v>
      </c>
      <c r="L74" s="35" t="s">
        <v>54</v>
      </c>
      <c r="M74" s="35" t="s">
        <v>55</v>
      </c>
      <c r="N74" s="35" t="s">
        <v>46</v>
      </c>
      <c r="O74" s="35" t="s">
        <v>47</v>
      </c>
      <c r="P74" s="35" t="s">
        <v>139</v>
      </c>
      <c r="Q74" s="35" t="s">
        <v>48</v>
      </c>
      <c r="R74" s="35" t="s">
        <v>46</v>
      </c>
      <c r="S74" s="36">
        <v>46173</v>
      </c>
      <c r="T74" s="36">
        <v>46174</v>
      </c>
      <c r="U74" s="35" t="s">
        <v>49</v>
      </c>
      <c r="V74" s="35" t="s">
        <v>348</v>
      </c>
      <c r="W74" s="35" t="s">
        <v>330</v>
      </c>
      <c r="X74" s="36">
        <v>46176</v>
      </c>
      <c r="Y74" s="35" t="s">
        <v>350</v>
      </c>
    </row>
    <row r="75" spans="1:25">
      <c r="A75" s="35" t="s">
        <v>632</v>
      </c>
      <c r="B75" s="35" t="s">
        <v>78</v>
      </c>
      <c r="C75" s="35" t="s">
        <v>633</v>
      </c>
      <c r="D75" s="35" t="s">
        <v>634</v>
      </c>
      <c r="E75" s="35" t="s">
        <v>381</v>
      </c>
      <c r="F75" s="35" t="s">
        <v>381</v>
      </c>
      <c r="G75" s="35" t="s">
        <v>381</v>
      </c>
      <c r="H75" s="35" t="s">
        <v>128</v>
      </c>
      <c r="I75" s="35" t="s">
        <v>43</v>
      </c>
      <c r="J75" s="35" t="s">
        <v>357</v>
      </c>
      <c r="K75" s="35" t="s">
        <v>44</v>
      </c>
      <c r="L75" s="35" t="s">
        <v>135</v>
      </c>
      <c r="M75" s="35" t="s">
        <v>45</v>
      </c>
      <c r="N75" s="35" t="s">
        <v>46</v>
      </c>
      <c r="O75" s="35" t="s">
        <v>138</v>
      </c>
      <c r="P75" s="35" t="s">
        <v>138</v>
      </c>
      <c r="Q75" s="35" t="s">
        <v>48</v>
      </c>
      <c r="R75" s="35" t="s">
        <v>140</v>
      </c>
      <c r="S75" s="36">
        <v>46159</v>
      </c>
      <c r="T75" s="36"/>
      <c r="U75" s="35" t="s">
        <v>141</v>
      </c>
      <c r="V75" s="35" t="s">
        <v>377</v>
      </c>
      <c r="W75" s="35" t="s">
        <v>441</v>
      </c>
      <c r="X75" s="36">
        <v>46183</v>
      </c>
      <c r="Y75" s="35" t="s">
        <v>378</v>
      </c>
    </row>
    <row r="76" spans="1:25">
      <c r="A76" s="35" t="s">
        <v>635</v>
      </c>
      <c r="B76" s="35" t="s">
        <v>59</v>
      </c>
      <c r="C76" s="35" t="s">
        <v>636</v>
      </c>
      <c r="D76" s="35" t="s">
        <v>637</v>
      </c>
      <c r="E76" s="35" t="s">
        <v>529</v>
      </c>
      <c r="F76" s="35" t="s">
        <v>529</v>
      </c>
      <c r="G76" s="35" t="s">
        <v>637</v>
      </c>
      <c r="H76" s="35" t="s">
        <v>124</v>
      </c>
      <c r="I76" s="35" t="s">
        <v>43</v>
      </c>
      <c r="J76" s="35" t="s">
        <v>357</v>
      </c>
      <c r="K76" s="35" t="s">
        <v>44</v>
      </c>
      <c r="L76" s="35" t="s">
        <v>638</v>
      </c>
      <c r="M76" s="35" t="s">
        <v>45</v>
      </c>
      <c r="N76" s="35" t="s">
        <v>46</v>
      </c>
      <c r="O76" s="35" t="s">
        <v>138</v>
      </c>
      <c r="P76" s="35" t="s">
        <v>138</v>
      </c>
      <c r="Q76" s="35" t="s">
        <v>48</v>
      </c>
      <c r="R76" s="35" t="s">
        <v>140</v>
      </c>
      <c r="S76" s="36">
        <v>46055</v>
      </c>
      <c r="T76" s="36"/>
      <c r="U76" s="35" t="s">
        <v>141</v>
      </c>
      <c r="V76" s="35" t="s">
        <v>412</v>
      </c>
      <c r="W76" s="35" t="s">
        <v>330</v>
      </c>
      <c r="X76" s="36">
        <v>46185</v>
      </c>
      <c r="Y76" s="35" t="s">
        <v>413</v>
      </c>
    </row>
    <row r="77" spans="1:25">
      <c r="A77" s="35" t="s">
        <v>639</v>
      </c>
      <c r="B77" s="35" t="s">
        <v>62</v>
      </c>
      <c r="C77" s="35" t="s">
        <v>640</v>
      </c>
      <c r="D77" s="35" t="s">
        <v>641</v>
      </c>
      <c r="E77" s="35" t="s">
        <v>87</v>
      </c>
      <c r="F77" s="35" t="s">
        <v>87</v>
      </c>
      <c r="G77" s="35" t="s">
        <v>87</v>
      </c>
      <c r="H77" s="35" t="s">
        <v>525</v>
      </c>
      <c r="I77" s="35" t="s">
        <v>129</v>
      </c>
      <c r="J77" s="35" t="s">
        <v>327</v>
      </c>
      <c r="K77" s="35" t="s">
        <v>44</v>
      </c>
      <c r="L77" s="35" t="s">
        <v>642</v>
      </c>
      <c r="M77" s="35" t="s">
        <v>55</v>
      </c>
      <c r="N77" s="35" t="s">
        <v>46</v>
      </c>
      <c r="O77" s="35" t="s">
        <v>138</v>
      </c>
      <c r="P77" s="35" t="s">
        <v>139</v>
      </c>
      <c r="Q77" s="35" t="s">
        <v>48</v>
      </c>
      <c r="R77" s="35" t="s">
        <v>140</v>
      </c>
      <c r="S77" s="36">
        <v>46170</v>
      </c>
      <c r="T77" s="36"/>
      <c r="U77" s="35" t="s">
        <v>141</v>
      </c>
      <c r="V77" s="35" t="s">
        <v>435</v>
      </c>
      <c r="W77" s="35" t="s">
        <v>349</v>
      </c>
      <c r="X77" s="36">
        <v>46182</v>
      </c>
      <c r="Y77" s="35" t="s">
        <v>436</v>
      </c>
    </row>
    <row r="78" spans="1:25">
      <c r="A78" s="35" t="s">
        <v>643</v>
      </c>
      <c r="B78" s="35" t="s">
        <v>66</v>
      </c>
      <c r="C78" s="35" t="s">
        <v>644</v>
      </c>
      <c r="D78" s="35" t="s">
        <v>645</v>
      </c>
      <c r="E78" s="35" t="s">
        <v>101</v>
      </c>
      <c r="F78" s="35" t="s">
        <v>101</v>
      </c>
      <c r="G78" s="35" t="s">
        <v>646</v>
      </c>
      <c r="H78" s="35" t="s">
        <v>610</v>
      </c>
      <c r="I78" s="35" t="s">
        <v>346</v>
      </c>
      <c r="J78" s="35" t="s">
        <v>347</v>
      </c>
      <c r="K78" s="35" t="s">
        <v>53</v>
      </c>
      <c r="L78" s="35" t="s">
        <v>54</v>
      </c>
      <c r="M78" s="35" t="s">
        <v>45</v>
      </c>
      <c r="N78" s="35" t="s">
        <v>46</v>
      </c>
      <c r="O78" s="35" t="s">
        <v>138</v>
      </c>
      <c r="P78" s="35" t="s">
        <v>138</v>
      </c>
      <c r="Q78" s="35" t="s">
        <v>48</v>
      </c>
      <c r="R78" s="35" t="s">
        <v>140</v>
      </c>
      <c r="S78" s="36">
        <v>46090</v>
      </c>
      <c r="T78" s="36"/>
      <c r="U78" s="35" t="s">
        <v>141</v>
      </c>
      <c r="V78" s="35" t="s">
        <v>144</v>
      </c>
      <c r="W78" s="35" t="s">
        <v>365</v>
      </c>
      <c r="X78" s="36">
        <v>46186</v>
      </c>
      <c r="Y78" s="35" t="s">
        <v>389</v>
      </c>
    </row>
    <row r="79" spans="1:25">
      <c r="A79" s="35" t="s">
        <v>647</v>
      </c>
      <c r="B79" s="35" t="s">
        <v>77</v>
      </c>
      <c r="C79" s="35" t="s">
        <v>80</v>
      </c>
      <c r="D79" s="35" t="s">
        <v>648</v>
      </c>
      <c r="E79" s="35" t="s">
        <v>97</v>
      </c>
      <c r="F79" s="35" t="s">
        <v>97</v>
      </c>
      <c r="G79" s="35" t="s">
        <v>97</v>
      </c>
      <c r="H79" s="35" t="s">
        <v>649</v>
      </c>
      <c r="I79" s="35" t="s">
        <v>129</v>
      </c>
      <c r="J79" s="35" t="s">
        <v>134</v>
      </c>
      <c r="K79" s="35" t="s">
        <v>44</v>
      </c>
      <c r="L79" s="35" t="s">
        <v>650</v>
      </c>
      <c r="M79" s="35" t="s">
        <v>45</v>
      </c>
      <c r="N79" s="35" t="s">
        <v>46</v>
      </c>
      <c r="O79" s="35" t="s">
        <v>47</v>
      </c>
      <c r="P79" s="35" t="s">
        <v>47</v>
      </c>
      <c r="Q79" s="35" t="s">
        <v>48</v>
      </c>
      <c r="R79" s="35" t="s">
        <v>46</v>
      </c>
      <c r="S79" s="36">
        <v>46141</v>
      </c>
      <c r="T79" s="36">
        <v>46155</v>
      </c>
      <c r="U79" s="35" t="s">
        <v>49</v>
      </c>
      <c r="V79" s="35" t="s">
        <v>348</v>
      </c>
      <c r="W79" s="35" t="s">
        <v>338</v>
      </c>
      <c r="X79" s="36">
        <v>46187</v>
      </c>
      <c r="Y79" s="35" t="s">
        <v>350</v>
      </c>
    </row>
    <row r="80" spans="1:25">
      <c r="A80" s="35" t="s">
        <v>651</v>
      </c>
      <c r="B80" s="35" t="s">
        <v>66</v>
      </c>
      <c r="C80" s="35" t="s">
        <v>652</v>
      </c>
      <c r="D80" s="35" t="s">
        <v>653</v>
      </c>
      <c r="E80" s="35" t="s">
        <v>100</v>
      </c>
      <c r="F80" s="35" t="s">
        <v>100</v>
      </c>
      <c r="G80" s="35" t="s">
        <v>100</v>
      </c>
      <c r="H80" s="35" t="s">
        <v>610</v>
      </c>
      <c r="I80" s="35" t="s">
        <v>131</v>
      </c>
      <c r="J80" s="35" t="s">
        <v>342</v>
      </c>
      <c r="K80" s="35" t="s">
        <v>53</v>
      </c>
      <c r="L80" s="35" t="s">
        <v>54</v>
      </c>
      <c r="M80" s="35" t="s">
        <v>136</v>
      </c>
      <c r="N80" s="35" t="s">
        <v>46</v>
      </c>
      <c r="O80" s="35" t="s">
        <v>139</v>
      </c>
      <c r="P80" s="35" t="s">
        <v>56</v>
      </c>
      <c r="Q80" s="35" t="s">
        <v>48</v>
      </c>
      <c r="R80" s="35" t="s">
        <v>137</v>
      </c>
      <c r="S80" s="36">
        <v>46055</v>
      </c>
      <c r="T80" s="36"/>
      <c r="U80" s="35" t="s">
        <v>56</v>
      </c>
      <c r="V80" s="35" t="s">
        <v>148</v>
      </c>
      <c r="W80" s="35" t="s">
        <v>365</v>
      </c>
      <c r="X80" s="36">
        <v>46186</v>
      </c>
      <c r="Y80" s="35" t="s">
        <v>359</v>
      </c>
    </row>
    <row r="81" spans="1:25">
      <c r="A81" s="35" t="s">
        <v>654</v>
      </c>
      <c r="B81" s="35" t="s">
        <v>340</v>
      </c>
      <c r="C81" s="35" t="s">
        <v>655</v>
      </c>
      <c r="D81" s="35" t="s">
        <v>656</v>
      </c>
      <c r="E81" s="35" t="s">
        <v>94</v>
      </c>
      <c r="F81" s="35" t="s">
        <v>94</v>
      </c>
      <c r="G81" s="35" t="s">
        <v>94</v>
      </c>
      <c r="H81" s="35" t="s">
        <v>112</v>
      </c>
      <c r="I81" s="35" t="s">
        <v>130</v>
      </c>
      <c r="J81" s="35" t="s">
        <v>393</v>
      </c>
      <c r="K81" s="35" t="s">
        <v>53</v>
      </c>
      <c r="L81" s="35" t="s">
        <v>54</v>
      </c>
      <c r="M81" s="35" t="s">
        <v>55</v>
      </c>
      <c r="N81" s="35" t="s">
        <v>46</v>
      </c>
      <c r="O81" s="35" t="s">
        <v>47</v>
      </c>
      <c r="P81" s="35" t="s">
        <v>139</v>
      </c>
      <c r="Q81" s="35" t="s">
        <v>48</v>
      </c>
      <c r="R81" s="35" t="s">
        <v>46</v>
      </c>
      <c r="S81" s="36">
        <v>46075</v>
      </c>
      <c r="T81" s="36">
        <v>46086</v>
      </c>
      <c r="U81" s="35" t="s">
        <v>49</v>
      </c>
      <c r="V81" s="35" t="s">
        <v>348</v>
      </c>
      <c r="W81" s="35" t="s">
        <v>330</v>
      </c>
      <c r="X81" s="36">
        <v>46178</v>
      </c>
      <c r="Y81" s="35" t="s">
        <v>350</v>
      </c>
    </row>
    <row r="82" spans="1:25">
      <c r="A82" s="35" t="s">
        <v>657</v>
      </c>
      <c r="B82" s="35" t="s">
        <v>361</v>
      </c>
      <c r="C82" s="35" t="s">
        <v>82</v>
      </c>
      <c r="D82" s="35" t="s">
        <v>658</v>
      </c>
      <c r="E82" s="35" t="s">
        <v>422</v>
      </c>
      <c r="F82" s="35" t="s">
        <v>422</v>
      </c>
      <c r="G82" s="35" t="s">
        <v>658</v>
      </c>
      <c r="H82" s="35" t="s">
        <v>388</v>
      </c>
      <c r="I82" s="35" t="s">
        <v>51</v>
      </c>
      <c r="J82" s="35" t="s">
        <v>52</v>
      </c>
      <c r="K82" s="35" t="s">
        <v>53</v>
      </c>
      <c r="L82" s="35" t="s">
        <v>54</v>
      </c>
      <c r="M82" s="35" t="s">
        <v>136</v>
      </c>
      <c r="N82" s="35" t="s">
        <v>46</v>
      </c>
      <c r="O82" s="35" t="s">
        <v>139</v>
      </c>
      <c r="P82" s="35" t="s">
        <v>138</v>
      </c>
      <c r="Q82" s="35" t="s">
        <v>48</v>
      </c>
      <c r="R82" s="35" t="s">
        <v>140</v>
      </c>
      <c r="S82" s="36">
        <v>46114</v>
      </c>
      <c r="T82" s="36"/>
      <c r="U82" s="35" t="s">
        <v>141</v>
      </c>
      <c r="V82" s="35" t="s">
        <v>412</v>
      </c>
      <c r="W82" s="35" t="s">
        <v>349</v>
      </c>
      <c r="X82" s="36">
        <v>46187</v>
      </c>
      <c r="Y82" s="35" t="s">
        <v>413</v>
      </c>
    </row>
    <row r="83" spans="1:25">
      <c r="A83" s="35" t="s">
        <v>659</v>
      </c>
      <c r="B83" s="35" t="s">
        <v>72</v>
      </c>
      <c r="C83" s="35" t="s">
        <v>660</v>
      </c>
      <c r="D83" s="35" t="s">
        <v>661</v>
      </c>
      <c r="E83" s="35" t="s">
        <v>550</v>
      </c>
      <c r="F83" s="35" t="s">
        <v>550</v>
      </c>
      <c r="G83" s="35" t="s">
        <v>550</v>
      </c>
      <c r="H83" s="35" t="s">
        <v>108</v>
      </c>
      <c r="I83" s="35" t="s">
        <v>43</v>
      </c>
      <c r="J83" s="35" t="s">
        <v>357</v>
      </c>
      <c r="K83" s="35" t="s">
        <v>44</v>
      </c>
      <c r="L83" s="35" t="s">
        <v>662</v>
      </c>
      <c r="M83" s="35" t="s">
        <v>45</v>
      </c>
      <c r="N83" s="35" t="s">
        <v>46</v>
      </c>
      <c r="O83" s="35" t="s">
        <v>47</v>
      </c>
      <c r="P83" s="35" t="s">
        <v>56</v>
      </c>
      <c r="Q83" s="35" t="s">
        <v>48</v>
      </c>
      <c r="R83" s="35" t="s">
        <v>137</v>
      </c>
      <c r="S83" s="36">
        <v>46119</v>
      </c>
      <c r="T83" s="36"/>
      <c r="U83" s="35" t="s">
        <v>56</v>
      </c>
      <c r="V83" s="35" t="s">
        <v>364</v>
      </c>
      <c r="W83" s="35" t="s">
        <v>441</v>
      </c>
      <c r="X83" s="36">
        <v>46185</v>
      </c>
      <c r="Y83" s="35" t="s">
        <v>366</v>
      </c>
    </row>
    <row r="84" spans="1:25">
      <c r="A84" s="35" t="s">
        <v>663</v>
      </c>
      <c r="B84" s="35" t="s">
        <v>60</v>
      </c>
      <c r="C84" s="35" t="s">
        <v>664</v>
      </c>
      <c r="D84" s="35" t="s">
        <v>665</v>
      </c>
      <c r="E84" s="35" t="s">
        <v>422</v>
      </c>
      <c r="F84" s="35" t="s">
        <v>422</v>
      </c>
      <c r="G84" s="35" t="s">
        <v>422</v>
      </c>
      <c r="H84" s="35" t="s">
        <v>127</v>
      </c>
      <c r="I84" s="35" t="s">
        <v>346</v>
      </c>
      <c r="J84" s="35" t="s">
        <v>347</v>
      </c>
      <c r="K84" s="35" t="s">
        <v>53</v>
      </c>
      <c r="L84" s="35" t="s">
        <v>54</v>
      </c>
      <c r="M84" s="35" t="s">
        <v>45</v>
      </c>
      <c r="N84" s="35" t="s">
        <v>46</v>
      </c>
      <c r="O84" s="35" t="s">
        <v>47</v>
      </c>
      <c r="P84" s="35" t="s">
        <v>56</v>
      </c>
      <c r="Q84" s="35" t="s">
        <v>48</v>
      </c>
      <c r="R84" s="35" t="s">
        <v>137</v>
      </c>
      <c r="S84" s="36">
        <v>46105</v>
      </c>
      <c r="T84" s="36"/>
      <c r="U84" s="35" t="s">
        <v>56</v>
      </c>
      <c r="V84" s="35" t="s">
        <v>364</v>
      </c>
      <c r="W84" s="35" t="s">
        <v>330</v>
      </c>
      <c r="X84" s="36">
        <v>46185</v>
      </c>
      <c r="Y84" s="35" t="s">
        <v>366</v>
      </c>
    </row>
    <row r="85" spans="1:25">
      <c r="A85" s="35" t="s">
        <v>666</v>
      </c>
      <c r="B85" s="35" t="s">
        <v>71</v>
      </c>
      <c r="C85" s="35" t="s">
        <v>667</v>
      </c>
      <c r="D85" s="35" t="s">
        <v>668</v>
      </c>
      <c r="E85" s="35" t="s">
        <v>550</v>
      </c>
      <c r="F85" s="35" t="s">
        <v>550</v>
      </c>
      <c r="G85" s="35" t="s">
        <v>669</v>
      </c>
      <c r="H85" s="35" t="s">
        <v>670</v>
      </c>
      <c r="I85" s="35" t="s">
        <v>51</v>
      </c>
      <c r="J85" s="35" t="s">
        <v>52</v>
      </c>
      <c r="K85" s="35" t="s">
        <v>53</v>
      </c>
      <c r="L85" s="35" t="s">
        <v>54</v>
      </c>
      <c r="M85" s="35" t="s">
        <v>55</v>
      </c>
      <c r="N85" s="35" t="s">
        <v>46</v>
      </c>
      <c r="O85" s="35" t="s">
        <v>138</v>
      </c>
      <c r="P85" s="35" t="s">
        <v>139</v>
      </c>
      <c r="Q85" s="35" t="s">
        <v>48</v>
      </c>
      <c r="R85" s="35" t="s">
        <v>140</v>
      </c>
      <c r="S85" s="36">
        <v>46162</v>
      </c>
      <c r="T85" s="36"/>
      <c r="U85" s="35" t="s">
        <v>141</v>
      </c>
      <c r="V85" s="35" t="s">
        <v>144</v>
      </c>
      <c r="W85" s="35" t="s">
        <v>349</v>
      </c>
      <c r="X85" s="36">
        <v>46177</v>
      </c>
      <c r="Y85" s="35" t="s">
        <v>389</v>
      </c>
    </row>
    <row r="86" spans="1:25">
      <c r="A86" s="35" t="s">
        <v>671</v>
      </c>
      <c r="B86" s="35" t="s">
        <v>513</v>
      </c>
      <c r="C86" s="35" t="s">
        <v>672</v>
      </c>
      <c r="D86" s="35" t="s">
        <v>673</v>
      </c>
      <c r="E86" s="35" t="s">
        <v>456</v>
      </c>
      <c r="F86" s="35" t="s">
        <v>456</v>
      </c>
      <c r="G86" s="35" t="s">
        <v>456</v>
      </c>
      <c r="H86" s="35" t="s">
        <v>109</v>
      </c>
      <c r="I86" s="35" t="s">
        <v>43</v>
      </c>
      <c r="J86" s="35" t="s">
        <v>357</v>
      </c>
      <c r="K86" s="35" t="s">
        <v>44</v>
      </c>
      <c r="L86" s="35" t="s">
        <v>674</v>
      </c>
      <c r="M86" s="35" t="s">
        <v>45</v>
      </c>
      <c r="N86" s="35" t="s">
        <v>46</v>
      </c>
      <c r="O86" s="35" t="s">
        <v>47</v>
      </c>
      <c r="P86" s="35" t="s">
        <v>56</v>
      </c>
      <c r="Q86" s="35" t="s">
        <v>58</v>
      </c>
      <c r="R86" s="35" t="s">
        <v>56</v>
      </c>
      <c r="S86" s="36">
        <v>46163</v>
      </c>
      <c r="T86" s="36"/>
      <c r="U86" s="35" t="s">
        <v>56</v>
      </c>
      <c r="V86" s="35" t="s">
        <v>143</v>
      </c>
      <c r="W86" s="35" t="s">
        <v>349</v>
      </c>
      <c r="X86" s="36">
        <v>46180</v>
      </c>
      <c r="Y86" s="35" t="s">
        <v>343</v>
      </c>
    </row>
    <row r="87" spans="1:25">
      <c r="A87" s="35" t="s">
        <v>675</v>
      </c>
      <c r="B87" s="35" t="s">
        <v>70</v>
      </c>
      <c r="C87" s="35" t="s">
        <v>676</v>
      </c>
      <c r="D87" s="35" t="s">
        <v>677</v>
      </c>
      <c r="E87" s="35" t="s">
        <v>98</v>
      </c>
      <c r="F87" s="35" t="s">
        <v>98</v>
      </c>
      <c r="G87" s="35" t="s">
        <v>98</v>
      </c>
      <c r="H87" s="35" t="s">
        <v>111</v>
      </c>
      <c r="I87" s="35" t="s">
        <v>51</v>
      </c>
      <c r="J87" s="35" t="s">
        <v>611</v>
      </c>
      <c r="K87" s="35" t="s">
        <v>53</v>
      </c>
      <c r="L87" s="35" t="s">
        <v>54</v>
      </c>
      <c r="M87" s="35" t="s">
        <v>55</v>
      </c>
      <c r="N87" s="35" t="s">
        <v>46</v>
      </c>
      <c r="O87" s="35" t="s">
        <v>138</v>
      </c>
      <c r="P87" s="35" t="s">
        <v>139</v>
      </c>
      <c r="Q87" s="35" t="s">
        <v>48</v>
      </c>
      <c r="R87" s="35" t="s">
        <v>140</v>
      </c>
      <c r="S87" s="36">
        <v>46175</v>
      </c>
      <c r="T87" s="36"/>
      <c r="U87" s="35" t="s">
        <v>141</v>
      </c>
      <c r="V87" s="35" t="s">
        <v>329</v>
      </c>
      <c r="W87" s="35" t="s">
        <v>349</v>
      </c>
      <c r="X87" s="36">
        <v>46183</v>
      </c>
      <c r="Y87" s="35" t="s">
        <v>331</v>
      </c>
    </row>
    <row r="88" spans="1:25">
      <c r="A88" s="35" t="s">
        <v>678</v>
      </c>
      <c r="B88" s="35" t="s">
        <v>63</v>
      </c>
      <c r="C88" s="35" t="s">
        <v>679</v>
      </c>
      <c r="D88" s="35" t="s">
        <v>680</v>
      </c>
      <c r="E88" s="35" t="s">
        <v>681</v>
      </c>
      <c r="F88" s="35" t="s">
        <v>681</v>
      </c>
      <c r="G88" s="35" t="s">
        <v>680</v>
      </c>
      <c r="H88" s="35" t="s">
        <v>121</v>
      </c>
      <c r="I88" s="35" t="s">
        <v>132</v>
      </c>
      <c r="J88" s="35" t="s">
        <v>401</v>
      </c>
      <c r="K88" s="35" t="s">
        <v>53</v>
      </c>
      <c r="L88" s="35" t="s">
        <v>54</v>
      </c>
      <c r="M88" s="35" t="s">
        <v>45</v>
      </c>
      <c r="N88" s="35" t="s">
        <v>46</v>
      </c>
      <c r="O88" s="35" t="s">
        <v>138</v>
      </c>
      <c r="P88" s="35" t="s">
        <v>138</v>
      </c>
      <c r="Q88" s="35" t="s">
        <v>48</v>
      </c>
      <c r="R88" s="35" t="s">
        <v>140</v>
      </c>
      <c r="S88" s="36">
        <v>46050</v>
      </c>
      <c r="T88" s="36"/>
      <c r="U88" s="35" t="s">
        <v>141</v>
      </c>
      <c r="V88" s="35" t="s">
        <v>412</v>
      </c>
      <c r="W88" s="35" t="s">
        <v>441</v>
      </c>
      <c r="X88" s="36">
        <v>46179</v>
      </c>
      <c r="Y88" s="35" t="s">
        <v>413</v>
      </c>
    </row>
    <row r="89" spans="1:25">
      <c r="A89" s="35" t="s">
        <v>682</v>
      </c>
      <c r="B89" s="35" t="s">
        <v>471</v>
      </c>
      <c r="C89" s="35" t="s">
        <v>683</v>
      </c>
      <c r="D89" s="35" t="s">
        <v>684</v>
      </c>
      <c r="E89" s="35" t="s">
        <v>409</v>
      </c>
      <c r="F89" s="35" t="s">
        <v>409</v>
      </c>
      <c r="G89" s="35" t="s">
        <v>409</v>
      </c>
      <c r="H89" s="35" t="s">
        <v>685</v>
      </c>
      <c r="I89" s="35" t="s">
        <v>130</v>
      </c>
      <c r="J89" s="35" t="s">
        <v>393</v>
      </c>
      <c r="K89" s="35" t="s">
        <v>53</v>
      </c>
      <c r="L89" s="35" t="s">
        <v>54</v>
      </c>
      <c r="M89" s="35" t="s">
        <v>55</v>
      </c>
      <c r="N89" s="35" t="s">
        <v>46</v>
      </c>
      <c r="O89" s="35" t="s">
        <v>47</v>
      </c>
      <c r="P89" s="35" t="s">
        <v>139</v>
      </c>
      <c r="Q89" s="35" t="s">
        <v>48</v>
      </c>
      <c r="R89" s="35" t="s">
        <v>137</v>
      </c>
      <c r="S89" s="36">
        <v>46098</v>
      </c>
      <c r="T89" s="36"/>
      <c r="U89" s="35" t="s">
        <v>56</v>
      </c>
      <c r="V89" s="35" t="s">
        <v>364</v>
      </c>
      <c r="W89" s="35" t="s">
        <v>365</v>
      </c>
      <c r="X89" s="36">
        <v>46187</v>
      </c>
      <c r="Y89" s="35" t="s">
        <v>366</v>
      </c>
    </row>
    <row r="90" spans="1:25">
      <c r="A90" s="35" t="s">
        <v>686</v>
      </c>
      <c r="B90" s="35" t="s">
        <v>73</v>
      </c>
      <c r="C90" s="35" t="s">
        <v>687</v>
      </c>
      <c r="D90" s="35" t="s">
        <v>688</v>
      </c>
      <c r="E90" s="35" t="s">
        <v>560</v>
      </c>
      <c r="F90" s="35" t="s">
        <v>560</v>
      </c>
      <c r="G90" s="35" t="s">
        <v>560</v>
      </c>
      <c r="H90" s="35" t="s">
        <v>124</v>
      </c>
      <c r="I90" s="35" t="s">
        <v>43</v>
      </c>
      <c r="J90" s="35" t="s">
        <v>357</v>
      </c>
      <c r="K90" s="35" t="s">
        <v>44</v>
      </c>
      <c r="L90" s="35" t="s">
        <v>689</v>
      </c>
      <c r="M90" s="35" t="s">
        <v>55</v>
      </c>
      <c r="N90" s="35" t="s">
        <v>46</v>
      </c>
      <c r="O90" s="35" t="s">
        <v>56</v>
      </c>
      <c r="P90" s="35" t="s">
        <v>139</v>
      </c>
      <c r="Q90" s="35" t="s">
        <v>48</v>
      </c>
      <c r="R90" s="35" t="s">
        <v>137</v>
      </c>
      <c r="S90" s="36">
        <v>46066</v>
      </c>
      <c r="T90" s="36"/>
      <c r="U90" s="35" t="s">
        <v>56</v>
      </c>
      <c r="V90" s="35" t="s">
        <v>148</v>
      </c>
      <c r="W90" s="35" t="s">
        <v>330</v>
      </c>
      <c r="X90" s="36">
        <v>46183</v>
      </c>
      <c r="Y90" s="35" t="s">
        <v>359</v>
      </c>
    </row>
    <row r="91" spans="1:25">
      <c r="A91" s="35" t="s">
        <v>690</v>
      </c>
      <c r="B91" s="35" t="s">
        <v>71</v>
      </c>
      <c r="C91" s="35" t="s">
        <v>691</v>
      </c>
      <c r="D91" s="35" t="s">
        <v>692</v>
      </c>
      <c r="E91" s="35" t="s">
        <v>99</v>
      </c>
      <c r="F91" s="35" t="s">
        <v>99</v>
      </c>
      <c r="G91" s="35" t="s">
        <v>99</v>
      </c>
      <c r="H91" s="35" t="s">
        <v>123</v>
      </c>
      <c r="I91" s="35" t="s">
        <v>130</v>
      </c>
      <c r="J91" s="35" t="s">
        <v>393</v>
      </c>
      <c r="K91" s="35" t="s">
        <v>53</v>
      </c>
      <c r="L91" s="35" t="s">
        <v>54</v>
      </c>
      <c r="M91" s="35" t="s">
        <v>45</v>
      </c>
      <c r="N91" s="35" t="s">
        <v>46</v>
      </c>
      <c r="O91" s="35" t="s">
        <v>47</v>
      </c>
      <c r="P91" s="35" t="s">
        <v>56</v>
      </c>
      <c r="Q91" s="35" t="s">
        <v>48</v>
      </c>
      <c r="R91" s="35" t="s">
        <v>137</v>
      </c>
      <c r="S91" s="36">
        <v>46099</v>
      </c>
      <c r="T91" s="36"/>
      <c r="U91" s="35" t="s">
        <v>56</v>
      </c>
      <c r="V91" s="35" t="s">
        <v>364</v>
      </c>
      <c r="W91" s="35" t="s">
        <v>338</v>
      </c>
      <c r="X91" s="36">
        <v>46183</v>
      </c>
      <c r="Y91" s="35" t="s">
        <v>366</v>
      </c>
    </row>
    <row r="92" spans="1:25">
      <c r="A92" s="35" t="s">
        <v>693</v>
      </c>
      <c r="B92" s="35" t="s">
        <v>69</v>
      </c>
      <c r="C92" s="35" t="s">
        <v>694</v>
      </c>
      <c r="D92" s="35" t="s">
        <v>695</v>
      </c>
      <c r="E92" s="35" t="s">
        <v>334</v>
      </c>
      <c r="F92" s="35" t="s">
        <v>334</v>
      </c>
      <c r="G92" s="35" t="s">
        <v>334</v>
      </c>
      <c r="H92" s="35" t="s">
        <v>696</v>
      </c>
      <c r="I92" s="35" t="s">
        <v>346</v>
      </c>
      <c r="J92" s="35" t="s">
        <v>347</v>
      </c>
      <c r="K92" s="35" t="s">
        <v>53</v>
      </c>
      <c r="L92" s="35" t="s">
        <v>54</v>
      </c>
      <c r="M92" s="35" t="s">
        <v>45</v>
      </c>
      <c r="N92" s="35" t="s">
        <v>46</v>
      </c>
      <c r="O92" s="35" t="s">
        <v>47</v>
      </c>
      <c r="P92" s="35" t="s">
        <v>47</v>
      </c>
      <c r="Q92" s="35" t="s">
        <v>48</v>
      </c>
      <c r="R92" s="35" t="s">
        <v>46</v>
      </c>
      <c r="S92" s="36">
        <v>46054</v>
      </c>
      <c r="T92" s="36">
        <v>46065</v>
      </c>
      <c r="U92" s="35" t="s">
        <v>49</v>
      </c>
      <c r="V92" s="35" t="s">
        <v>348</v>
      </c>
      <c r="W92" s="35" t="s">
        <v>441</v>
      </c>
      <c r="X92" s="36">
        <v>46182</v>
      </c>
      <c r="Y92" s="35" t="s">
        <v>350</v>
      </c>
    </row>
    <row r="93" spans="1:25">
      <c r="A93" s="35" t="s">
        <v>697</v>
      </c>
      <c r="B93" s="35" t="s">
        <v>65</v>
      </c>
      <c r="C93" s="35" t="s">
        <v>698</v>
      </c>
      <c r="D93" s="35" t="s">
        <v>699</v>
      </c>
      <c r="E93" s="35" t="s">
        <v>101</v>
      </c>
      <c r="F93" s="35" t="s">
        <v>101</v>
      </c>
      <c r="G93" s="35" t="s">
        <v>101</v>
      </c>
      <c r="H93" s="35" t="s">
        <v>562</v>
      </c>
      <c r="I93" s="35" t="s">
        <v>132</v>
      </c>
      <c r="J93" s="35" t="s">
        <v>401</v>
      </c>
      <c r="K93" s="35" t="s">
        <v>53</v>
      </c>
      <c r="L93" s="35" t="s">
        <v>54</v>
      </c>
      <c r="M93" s="35" t="s">
        <v>45</v>
      </c>
      <c r="N93" s="35" t="s">
        <v>46</v>
      </c>
      <c r="O93" s="35" t="s">
        <v>47</v>
      </c>
      <c r="P93" s="35" t="s">
        <v>56</v>
      </c>
      <c r="Q93" s="35" t="s">
        <v>48</v>
      </c>
      <c r="R93" s="35" t="s">
        <v>137</v>
      </c>
      <c r="S93" s="36">
        <v>46162</v>
      </c>
      <c r="T93" s="36"/>
      <c r="U93" s="35" t="s">
        <v>56</v>
      </c>
      <c r="V93" s="35" t="s">
        <v>364</v>
      </c>
      <c r="W93" s="35" t="s">
        <v>349</v>
      </c>
      <c r="X93" s="36">
        <v>46178</v>
      </c>
      <c r="Y93" s="35" t="s">
        <v>366</v>
      </c>
    </row>
    <row r="94" spans="1:25">
      <c r="A94" s="35" t="s">
        <v>700</v>
      </c>
      <c r="B94" s="35" t="s">
        <v>68</v>
      </c>
      <c r="C94" s="35" t="s">
        <v>701</v>
      </c>
      <c r="D94" s="35" t="s">
        <v>702</v>
      </c>
      <c r="E94" s="35" t="s">
        <v>405</v>
      </c>
      <c r="F94" s="35" t="s">
        <v>405</v>
      </c>
      <c r="G94" s="35" t="s">
        <v>405</v>
      </c>
      <c r="H94" s="35" t="s">
        <v>703</v>
      </c>
      <c r="I94" s="35" t="s">
        <v>130</v>
      </c>
      <c r="J94" s="35" t="s">
        <v>393</v>
      </c>
      <c r="K94" s="35" t="s">
        <v>53</v>
      </c>
      <c r="L94" s="35" t="s">
        <v>54</v>
      </c>
      <c r="M94" s="35" t="s">
        <v>45</v>
      </c>
      <c r="N94" s="35" t="s">
        <v>46</v>
      </c>
      <c r="O94" s="35" t="s">
        <v>47</v>
      </c>
      <c r="P94" s="35" t="s">
        <v>56</v>
      </c>
      <c r="Q94" s="35" t="s">
        <v>58</v>
      </c>
      <c r="R94" s="35" t="s">
        <v>56</v>
      </c>
      <c r="S94" s="36">
        <v>46085</v>
      </c>
      <c r="T94" s="36"/>
      <c r="U94" s="35" t="s">
        <v>56</v>
      </c>
      <c r="V94" s="35" t="s">
        <v>143</v>
      </c>
      <c r="W94" s="35" t="s">
        <v>365</v>
      </c>
      <c r="X94" s="36">
        <v>46187</v>
      </c>
      <c r="Y94" s="35" t="s">
        <v>343</v>
      </c>
    </row>
    <row r="95" spans="1:25">
      <c r="A95" s="35" t="s">
        <v>704</v>
      </c>
      <c r="B95" s="35" t="s">
        <v>64</v>
      </c>
      <c r="C95" s="35" t="s">
        <v>705</v>
      </c>
      <c r="D95" s="35" t="s">
        <v>706</v>
      </c>
      <c r="E95" s="35" t="s">
        <v>102</v>
      </c>
      <c r="F95" s="35" t="s">
        <v>102</v>
      </c>
      <c r="G95" s="35" t="s">
        <v>102</v>
      </c>
      <c r="H95" s="35" t="s">
        <v>707</v>
      </c>
      <c r="I95" s="35" t="s">
        <v>131</v>
      </c>
      <c r="J95" s="35" t="s">
        <v>342</v>
      </c>
      <c r="K95" s="35" t="s">
        <v>53</v>
      </c>
      <c r="L95" s="35" t="s">
        <v>54</v>
      </c>
      <c r="M95" s="35" t="s">
        <v>45</v>
      </c>
      <c r="N95" s="35" t="s">
        <v>46</v>
      </c>
      <c r="O95" s="35" t="s">
        <v>56</v>
      </c>
      <c r="P95" s="35" t="s">
        <v>56</v>
      </c>
      <c r="Q95" s="35" t="s">
        <v>48</v>
      </c>
      <c r="R95" s="35" t="s">
        <v>137</v>
      </c>
      <c r="S95" s="36">
        <v>46134</v>
      </c>
      <c r="T95" s="36"/>
      <c r="U95" s="35" t="s">
        <v>56</v>
      </c>
      <c r="V95" s="35" t="s">
        <v>148</v>
      </c>
      <c r="W95" s="35" t="s">
        <v>365</v>
      </c>
      <c r="X95" s="36">
        <v>46182</v>
      </c>
      <c r="Y95" s="35" t="s">
        <v>359</v>
      </c>
    </row>
    <row r="96" spans="1:25">
      <c r="A96" s="35" t="s">
        <v>708</v>
      </c>
      <c r="B96" s="35" t="s">
        <v>59</v>
      </c>
      <c r="C96" s="35" t="s">
        <v>380</v>
      </c>
      <c r="D96" s="35" t="s">
        <v>709</v>
      </c>
      <c r="E96" s="35" t="s">
        <v>506</v>
      </c>
      <c r="F96" s="35" t="s">
        <v>506</v>
      </c>
      <c r="G96" s="35" t="s">
        <v>506</v>
      </c>
      <c r="H96" s="35" t="s">
        <v>598</v>
      </c>
      <c r="I96" s="35" t="s">
        <v>51</v>
      </c>
      <c r="J96" s="35" t="s">
        <v>52</v>
      </c>
      <c r="K96" s="35" t="s">
        <v>53</v>
      </c>
      <c r="L96" s="35" t="s">
        <v>54</v>
      </c>
      <c r="M96" s="35" t="s">
        <v>45</v>
      </c>
      <c r="N96" s="35" t="s">
        <v>46</v>
      </c>
      <c r="O96" s="35" t="s">
        <v>56</v>
      </c>
      <c r="P96" s="35" t="s">
        <v>56</v>
      </c>
      <c r="Q96" s="35" t="s">
        <v>48</v>
      </c>
      <c r="R96" s="35" t="s">
        <v>137</v>
      </c>
      <c r="S96" s="36">
        <v>46149</v>
      </c>
      <c r="T96" s="36"/>
      <c r="U96" s="35" t="s">
        <v>56</v>
      </c>
      <c r="V96" s="35" t="s">
        <v>148</v>
      </c>
      <c r="W96" s="35" t="s">
        <v>338</v>
      </c>
      <c r="X96" s="36">
        <v>46177</v>
      </c>
      <c r="Y96" s="35" t="s">
        <v>359</v>
      </c>
    </row>
    <row r="97" spans="1:25">
      <c r="A97" s="35" t="s">
        <v>710</v>
      </c>
      <c r="B97" s="35" t="s">
        <v>16</v>
      </c>
      <c r="C97" s="35" t="s">
        <v>601</v>
      </c>
      <c r="D97" s="35" t="s">
        <v>711</v>
      </c>
      <c r="E97" s="35" t="s">
        <v>712</v>
      </c>
      <c r="F97" s="35" t="s">
        <v>712</v>
      </c>
      <c r="G97" s="35" t="s">
        <v>712</v>
      </c>
      <c r="H97" s="35" t="s">
        <v>115</v>
      </c>
      <c r="I97" s="35" t="s">
        <v>129</v>
      </c>
      <c r="J97" s="35" t="s">
        <v>713</v>
      </c>
      <c r="K97" s="35" t="s">
        <v>44</v>
      </c>
      <c r="L97" s="35" t="s">
        <v>714</v>
      </c>
      <c r="M97" s="35" t="s">
        <v>55</v>
      </c>
      <c r="N97" s="35" t="s">
        <v>46</v>
      </c>
      <c r="O97" s="35" t="s">
        <v>138</v>
      </c>
      <c r="P97" s="35" t="s">
        <v>139</v>
      </c>
      <c r="Q97" s="35" t="s">
        <v>48</v>
      </c>
      <c r="R97" s="35" t="s">
        <v>140</v>
      </c>
      <c r="S97" s="36">
        <v>46123</v>
      </c>
      <c r="T97" s="36"/>
      <c r="U97" s="35" t="s">
        <v>141</v>
      </c>
      <c r="V97" s="35" t="s">
        <v>435</v>
      </c>
      <c r="W97" s="35" t="s">
        <v>349</v>
      </c>
      <c r="X97" s="36">
        <v>46185</v>
      </c>
      <c r="Y97" s="35" t="s">
        <v>436</v>
      </c>
    </row>
    <row r="98" spans="1:25">
      <c r="A98" s="35" t="s">
        <v>715</v>
      </c>
      <c r="B98" s="35" t="s">
        <v>395</v>
      </c>
      <c r="C98" s="35" t="s">
        <v>716</v>
      </c>
      <c r="D98" s="35" t="s">
        <v>717</v>
      </c>
      <c r="E98" s="35" t="s">
        <v>478</v>
      </c>
      <c r="F98" s="35" t="s">
        <v>478</v>
      </c>
      <c r="G98" s="35" t="s">
        <v>478</v>
      </c>
      <c r="H98" s="35" t="s">
        <v>113</v>
      </c>
      <c r="I98" s="35" t="s">
        <v>132</v>
      </c>
      <c r="J98" s="35" t="s">
        <v>401</v>
      </c>
      <c r="K98" s="35" t="s">
        <v>53</v>
      </c>
      <c r="L98" s="35" t="s">
        <v>54</v>
      </c>
      <c r="M98" s="35" t="s">
        <v>45</v>
      </c>
      <c r="N98" s="35" t="s">
        <v>46</v>
      </c>
      <c r="O98" s="35" t="s">
        <v>47</v>
      </c>
      <c r="P98" s="35" t="s">
        <v>56</v>
      </c>
      <c r="Q98" s="35" t="s">
        <v>48</v>
      </c>
      <c r="R98" s="35" t="s">
        <v>137</v>
      </c>
      <c r="S98" s="36">
        <v>46161</v>
      </c>
      <c r="T98" s="36"/>
      <c r="U98" s="35" t="s">
        <v>56</v>
      </c>
      <c r="V98" s="35" t="s">
        <v>364</v>
      </c>
      <c r="W98" s="35" t="s">
        <v>330</v>
      </c>
      <c r="X98" s="36">
        <v>46184</v>
      </c>
      <c r="Y98" s="35" t="s">
        <v>366</v>
      </c>
    </row>
    <row r="99" spans="1:25">
      <c r="A99" s="35" t="s">
        <v>718</v>
      </c>
      <c r="B99" s="35" t="s">
        <v>64</v>
      </c>
      <c r="C99" s="35" t="s">
        <v>719</v>
      </c>
      <c r="D99" s="35" t="s">
        <v>720</v>
      </c>
      <c r="E99" s="35" t="s">
        <v>87</v>
      </c>
      <c r="F99" s="35" t="s">
        <v>87</v>
      </c>
      <c r="G99" s="35" t="s">
        <v>87</v>
      </c>
      <c r="H99" s="35" t="s">
        <v>108</v>
      </c>
      <c r="I99" s="35" t="s">
        <v>130</v>
      </c>
      <c r="J99" s="35" t="s">
        <v>721</v>
      </c>
      <c r="K99" s="35" t="s">
        <v>53</v>
      </c>
      <c r="L99" s="35" t="s">
        <v>54</v>
      </c>
      <c r="M99" s="35" t="s">
        <v>45</v>
      </c>
      <c r="N99" s="35" t="s">
        <v>46</v>
      </c>
      <c r="O99" s="35" t="s">
        <v>138</v>
      </c>
      <c r="P99" s="35" t="s">
        <v>138</v>
      </c>
      <c r="Q99" s="35" t="s">
        <v>48</v>
      </c>
      <c r="R99" s="35" t="s">
        <v>140</v>
      </c>
      <c r="S99" s="36">
        <v>46150</v>
      </c>
      <c r="T99" s="36"/>
      <c r="U99" s="35" t="s">
        <v>141</v>
      </c>
      <c r="V99" s="35" t="s">
        <v>329</v>
      </c>
      <c r="W99" s="35" t="s">
        <v>441</v>
      </c>
      <c r="X99" s="36">
        <v>46178</v>
      </c>
      <c r="Y99" s="35" t="s">
        <v>331</v>
      </c>
    </row>
    <row r="100" spans="1:25">
      <c r="A100" s="35" t="s">
        <v>722</v>
      </c>
      <c r="B100" s="35" t="s">
        <v>59</v>
      </c>
      <c r="C100" s="35" t="s">
        <v>723</v>
      </c>
      <c r="D100" s="35" t="s">
        <v>724</v>
      </c>
      <c r="E100" s="35" t="s">
        <v>85</v>
      </c>
      <c r="F100" s="35" t="s">
        <v>85</v>
      </c>
      <c r="G100" s="35" t="s">
        <v>724</v>
      </c>
      <c r="H100" s="35" t="s">
        <v>128</v>
      </c>
      <c r="I100" s="35" t="s">
        <v>51</v>
      </c>
      <c r="J100" s="35" t="s">
        <v>52</v>
      </c>
      <c r="K100" s="35" t="s">
        <v>53</v>
      </c>
      <c r="L100" s="35" t="s">
        <v>54</v>
      </c>
      <c r="M100" s="35" t="s">
        <v>136</v>
      </c>
      <c r="N100" s="35" t="s">
        <v>46</v>
      </c>
      <c r="O100" s="35" t="s">
        <v>139</v>
      </c>
      <c r="P100" s="35" t="s">
        <v>138</v>
      </c>
      <c r="Q100" s="35" t="s">
        <v>48</v>
      </c>
      <c r="R100" s="35" t="s">
        <v>140</v>
      </c>
      <c r="S100" s="36">
        <v>46099</v>
      </c>
      <c r="T100" s="36"/>
      <c r="U100" s="35" t="s">
        <v>141</v>
      </c>
      <c r="V100" s="35" t="s">
        <v>412</v>
      </c>
      <c r="W100" s="35" t="s">
        <v>349</v>
      </c>
      <c r="X100" s="36">
        <v>46184</v>
      </c>
      <c r="Y100" s="35" t="s">
        <v>413</v>
      </c>
    </row>
    <row r="101" spans="1:25">
      <c r="A101" s="35" t="s">
        <v>725</v>
      </c>
      <c r="B101" s="35" t="s">
        <v>361</v>
      </c>
      <c r="C101" s="35" t="s">
        <v>450</v>
      </c>
      <c r="D101" s="35" t="s">
        <v>726</v>
      </c>
      <c r="E101" s="35" t="s">
        <v>681</v>
      </c>
      <c r="F101" s="35" t="s">
        <v>681</v>
      </c>
      <c r="G101" s="35" t="s">
        <v>681</v>
      </c>
      <c r="H101" s="35" t="s">
        <v>727</v>
      </c>
      <c r="I101" s="35" t="s">
        <v>132</v>
      </c>
      <c r="J101" s="35" t="s">
        <v>401</v>
      </c>
      <c r="K101" s="35" t="s">
        <v>53</v>
      </c>
      <c r="L101" s="35" t="s">
        <v>54</v>
      </c>
      <c r="M101" s="35" t="s">
        <v>136</v>
      </c>
      <c r="N101" s="35" t="s">
        <v>137</v>
      </c>
      <c r="O101" s="35" t="s">
        <v>139</v>
      </c>
      <c r="P101" s="35" t="s">
        <v>57</v>
      </c>
      <c r="Q101" s="35" t="s">
        <v>58</v>
      </c>
      <c r="R101" s="35" t="s">
        <v>57</v>
      </c>
      <c r="S101" s="36">
        <v>46164</v>
      </c>
      <c r="T101" s="36"/>
      <c r="U101" s="35" t="s">
        <v>56</v>
      </c>
      <c r="V101" s="35" t="s">
        <v>147</v>
      </c>
      <c r="W101" s="35" t="s">
        <v>365</v>
      </c>
      <c r="X101" s="36">
        <v>46185</v>
      </c>
      <c r="Y101" s="35" t="s">
        <v>406</v>
      </c>
    </row>
    <row r="102" spans="1:25">
      <c r="A102" s="35" t="s">
        <v>728</v>
      </c>
      <c r="B102" s="35" t="s">
        <v>70</v>
      </c>
      <c r="C102" s="35" t="s">
        <v>729</v>
      </c>
      <c r="D102" s="35" t="s">
        <v>730</v>
      </c>
      <c r="E102" s="35" t="s">
        <v>98</v>
      </c>
      <c r="F102" s="35" t="s">
        <v>98</v>
      </c>
      <c r="G102" s="35" t="s">
        <v>98</v>
      </c>
      <c r="H102" s="35" t="s">
        <v>670</v>
      </c>
      <c r="I102" s="35" t="s">
        <v>131</v>
      </c>
      <c r="J102" s="35" t="s">
        <v>731</v>
      </c>
      <c r="K102" s="35" t="s">
        <v>53</v>
      </c>
      <c r="L102" s="35" t="s">
        <v>54</v>
      </c>
      <c r="M102" s="35" t="s">
        <v>55</v>
      </c>
      <c r="N102" s="35" t="s">
        <v>46</v>
      </c>
      <c r="O102" s="35" t="s">
        <v>138</v>
      </c>
      <c r="P102" s="35" t="s">
        <v>139</v>
      </c>
      <c r="Q102" s="35" t="s">
        <v>48</v>
      </c>
      <c r="R102" s="35" t="s">
        <v>140</v>
      </c>
      <c r="S102" s="36">
        <v>46077</v>
      </c>
      <c r="T102" s="36"/>
      <c r="U102" s="35" t="s">
        <v>141</v>
      </c>
      <c r="V102" s="35" t="s">
        <v>435</v>
      </c>
      <c r="W102" s="35" t="s">
        <v>349</v>
      </c>
      <c r="X102" s="36">
        <v>46177</v>
      </c>
      <c r="Y102" s="35" t="s">
        <v>436</v>
      </c>
    </row>
    <row r="103" spans="1:25">
      <c r="A103" s="35" t="s">
        <v>732</v>
      </c>
      <c r="B103" s="35" t="s">
        <v>74</v>
      </c>
      <c r="C103" s="35" t="s">
        <v>733</v>
      </c>
      <c r="D103" s="35" t="s">
        <v>734</v>
      </c>
      <c r="E103" s="35" t="s">
        <v>735</v>
      </c>
      <c r="F103" s="35" t="s">
        <v>735</v>
      </c>
      <c r="G103" s="35" t="s">
        <v>735</v>
      </c>
      <c r="H103" s="35" t="s">
        <v>457</v>
      </c>
      <c r="I103" s="35" t="s">
        <v>131</v>
      </c>
      <c r="J103" s="35" t="s">
        <v>434</v>
      </c>
      <c r="K103" s="35" t="s">
        <v>53</v>
      </c>
      <c r="L103" s="35" t="s">
        <v>54</v>
      </c>
      <c r="M103" s="35" t="s">
        <v>136</v>
      </c>
      <c r="N103" s="35" t="s">
        <v>46</v>
      </c>
      <c r="O103" s="35" t="s">
        <v>139</v>
      </c>
      <c r="P103" s="35" t="s">
        <v>138</v>
      </c>
      <c r="Q103" s="35" t="s">
        <v>48</v>
      </c>
      <c r="R103" s="35" t="s">
        <v>140</v>
      </c>
      <c r="S103" s="36">
        <v>46135</v>
      </c>
      <c r="T103" s="36"/>
      <c r="U103" s="35" t="s">
        <v>141</v>
      </c>
      <c r="V103" s="35" t="s">
        <v>435</v>
      </c>
      <c r="W103" s="35" t="s">
        <v>330</v>
      </c>
      <c r="X103" s="36">
        <v>46183</v>
      </c>
      <c r="Y103" s="35" t="s">
        <v>436</v>
      </c>
    </row>
    <row r="104" spans="1:25">
      <c r="A104" s="35" t="s">
        <v>736</v>
      </c>
      <c r="B104" s="35" t="s">
        <v>69</v>
      </c>
      <c r="C104" s="35" t="s">
        <v>737</v>
      </c>
      <c r="D104" s="35" t="s">
        <v>738</v>
      </c>
      <c r="E104" s="35" t="s">
        <v>422</v>
      </c>
      <c r="F104" s="35" t="s">
        <v>422</v>
      </c>
      <c r="G104" s="35" t="s">
        <v>422</v>
      </c>
      <c r="H104" s="35" t="s">
        <v>111</v>
      </c>
      <c r="I104" s="35" t="s">
        <v>51</v>
      </c>
      <c r="J104" s="35" t="s">
        <v>52</v>
      </c>
      <c r="K104" s="35" t="s">
        <v>53</v>
      </c>
      <c r="L104" s="35" t="s">
        <v>54</v>
      </c>
      <c r="M104" s="35" t="s">
        <v>45</v>
      </c>
      <c r="N104" s="35" t="s">
        <v>46</v>
      </c>
      <c r="O104" s="35" t="s">
        <v>47</v>
      </c>
      <c r="P104" s="35" t="s">
        <v>56</v>
      </c>
      <c r="Q104" s="35" t="s">
        <v>58</v>
      </c>
      <c r="R104" s="35" t="s">
        <v>56</v>
      </c>
      <c r="S104" s="36">
        <v>46138</v>
      </c>
      <c r="T104" s="36"/>
      <c r="U104" s="35" t="s">
        <v>56</v>
      </c>
      <c r="V104" s="35" t="s">
        <v>143</v>
      </c>
      <c r="W104" s="35" t="s">
        <v>330</v>
      </c>
      <c r="X104" s="36">
        <v>46180</v>
      </c>
      <c r="Y104" s="35" t="s">
        <v>343</v>
      </c>
    </row>
    <row r="105" spans="1:25">
      <c r="A105" s="35" t="s">
        <v>739</v>
      </c>
      <c r="B105" s="35" t="s">
        <v>471</v>
      </c>
      <c r="C105" s="35" t="s">
        <v>740</v>
      </c>
      <c r="D105" s="35" t="s">
        <v>741</v>
      </c>
      <c r="E105" s="35" t="s">
        <v>381</v>
      </c>
      <c r="F105" s="35" t="s">
        <v>381</v>
      </c>
      <c r="G105" s="35" t="s">
        <v>381</v>
      </c>
      <c r="H105" s="35" t="s">
        <v>742</v>
      </c>
      <c r="I105" s="35" t="s">
        <v>132</v>
      </c>
      <c r="J105" s="35" t="s">
        <v>401</v>
      </c>
      <c r="K105" s="35" t="s">
        <v>53</v>
      </c>
      <c r="L105" s="35" t="s">
        <v>54</v>
      </c>
      <c r="M105" s="35" t="s">
        <v>45</v>
      </c>
      <c r="N105" s="35" t="s">
        <v>46</v>
      </c>
      <c r="O105" s="35" t="s">
        <v>47</v>
      </c>
      <c r="P105" s="35" t="s">
        <v>56</v>
      </c>
      <c r="Q105" s="35" t="s">
        <v>58</v>
      </c>
      <c r="R105" s="35" t="s">
        <v>56</v>
      </c>
      <c r="S105" s="36">
        <v>46095</v>
      </c>
      <c r="T105" s="36"/>
      <c r="U105" s="35" t="s">
        <v>56</v>
      </c>
      <c r="V105" s="35" t="s">
        <v>143</v>
      </c>
      <c r="W105" s="35" t="s">
        <v>441</v>
      </c>
      <c r="X105" s="36">
        <v>46185</v>
      </c>
      <c r="Y105" s="35" t="s">
        <v>343</v>
      </c>
    </row>
    <row r="106" spans="1:25">
      <c r="A106" s="35" t="s">
        <v>743</v>
      </c>
      <c r="B106" s="35" t="s">
        <v>76</v>
      </c>
      <c r="C106" s="35" t="s">
        <v>744</v>
      </c>
      <c r="D106" s="35" t="s">
        <v>745</v>
      </c>
      <c r="E106" s="35" t="s">
        <v>98</v>
      </c>
      <c r="F106" s="35" t="s">
        <v>98</v>
      </c>
      <c r="G106" s="35" t="s">
        <v>98</v>
      </c>
      <c r="H106" s="35" t="s">
        <v>685</v>
      </c>
      <c r="I106" s="35" t="s">
        <v>131</v>
      </c>
      <c r="J106" s="35" t="s">
        <v>434</v>
      </c>
      <c r="K106" s="35" t="s">
        <v>53</v>
      </c>
      <c r="L106" s="35" t="s">
        <v>54</v>
      </c>
      <c r="M106" s="35" t="s">
        <v>45</v>
      </c>
      <c r="N106" s="35" t="s">
        <v>46</v>
      </c>
      <c r="O106" s="35" t="s">
        <v>138</v>
      </c>
      <c r="P106" s="35" t="s">
        <v>138</v>
      </c>
      <c r="Q106" s="35" t="s">
        <v>48</v>
      </c>
      <c r="R106" s="35" t="s">
        <v>140</v>
      </c>
      <c r="S106" s="36">
        <v>46061</v>
      </c>
      <c r="T106" s="36"/>
      <c r="U106" s="35" t="s">
        <v>141</v>
      </c>
      <c r="V106" s="35" t="s">
        <v>329</v>
      </c>
      <c r="W106" s="35" t="s">
        <v>330</v>
      </c>
      <c r="X106" s="36">
        <v>46186</v>
      </c>
      <c r="Y106" s="35" t="s">
        <v>331</v>
      </c>
    </row>
    <row r="107" spans="1:25">
      <c r="A107" s="35" t="s">
        <v>746</v>
      </c>
      <c r="B107" s="35" t="s">
        <v>340</v>
      </c>
      <c r="C107" s="35" t="s">
        <v>747</v>
      </c>
      <c r="D107" s="35" t="s">
        <v>748</v>
      </c>
      <c r="E107" s="35" t="s">
        <v>506</v>
      </c>
      <c r="F107" s="35" t="s">
        <v>506</v>
      </c>
      <c r="G107" s="35" t="s">
        <v>506</v>
      </c>
      <c r="H107" s="35" t="s">
        <v>127</v>
      </c>
      <c r="I107" s="35" t="s">
        <v>51</v>
      </c>
      <c r="J107" s="35" t="s">
        <v>52</v>
      </c>
      <c r="K107" s="35" t="s">
        <v>53</v>
      </c>
      <c r="L107" s="35" t="s">
        <v>54</v>
      </c>
      <c r="M107" s="35" t="s">
        <v>45</v>
      </c>
      <c r="N107" s="35" t="s">
        <v>46</v>
      </c>
      <c r="O107" s="35" t="s">
        <v>47</v>
      </c>
      <c r="P107" s="35" t="s">
        <v>47</v>
      </c>
      <c r="Q107" s="35" t="s">
        <v>48</v>
      </c>
      <c r="R107" s="35" t="s">
        <v>46</v>
      </c>
      <c r="S107" s="36">
        <v>46112</v>
      </c>
      <c r="T107" s="36">
        <v>46124</v>
      </c>
      <c r="U107" s="35" t="s">
        <v>49</v>
      </c>
      <c r="V107" s="35" t="s">
        <v>348</v>
      </c>
      <c r="W107" s="35" t="s">
        <v>349</v>
      </c>
      <c r="X107" s="36">
        <v>46187</v>
      </c>
      <c r="Y107" s="35" t="s">
        <v>350</v>
      </c>
    </row>
    <row r="108" spans="1:25">
      <c r="A108" s="35" t="s">
        <v>749</v>
      </c>
      <c r="B108" s="35" t="s">
        <v>63</v>
      </c>
      <c r="C108" s="35" t="s">
        <v>542</v>
      </c>
      <c r="D108" s="35" t="s">
        <v>750</v>
      </c>
      <c r="E108" s="35" t="s">
        <v>405</v>
      </c>
      <c r="F108" s="35" t="s">
        <v>405</v>
      </c>
      <c r="G108" s="35" t="s">
        <v>405</v>
      </c>
      <c r="H108" s="35" t="s">
        <v>619</v>
      </c>
      <c r="I108" s="35" t="s">
        <v>51</v>
      </c>
      <c r="J108" s="35" t="s">
        <v>52</v>
      </c>
      <c r="K108" s="35" t="s">
        <v>53</v>
      </c>
      <c r="L108" s="35" t="s">
        <v>54</v>
      </c>
      <c r="M108" s="35" t="s">
        <v>45</v>
      </c>
      <c r="N108" s="35" t="s">
        <v>46</v>
      </c>
      <c r="O108" s="35" t="s">
        <v>56</v>
      </c>
      <c r="P108" s="35" t="s">
        <v>56</v>
      </c>
      <c r="Q108" s="35" t="s">
        <v>48</v>
      </c>
      <c r="R108" s="35" t="s">
        <v>137</v>
      </c>
      <c r="S108" s="36">
        <v>46079</v>
      </c>
      <c r="T108" s="36"/>
      <c r="U108" s="35" t="s">
        <v>56</v>
      </c>
      <c r="V108" s="35" t="s">
        <v>148</v>
      </c>
      <c r="W108" s="35" t="s">
        <v>349</v>
      </c>
      <c r="X108" s="36">
        <v>46180</v>
      </c>
      <c r="Y108" s="35" t="s">
        <v>359</v>
      </c>
    </row>
    <row r="109" spans="1:25">
      <c r="A109" s="35" t="s">
        <v>751</v>
      </c>
      <c r="B109" s="35" t="s">
        <v>79</v>
      </c>
      <c r="C109" s="35" t="s">
        <v>752</v>
      </c>
      <c r="D109" s="35" t="s">
        <v>753</v>
      </c>
      <c r="E109" s="35" t="s">
        <v>89</v>
      </c>
      <c r="F109" s="35" t="s">
        <v>89</v>
      </c>
      <c r="G109" s="35" t="s">
        <v>89</v>
      </c>
      <c r="H109" s="35" t="s">
        <v>356</v>
      </c>
      <c r="I109" s="35" t="s">
        <v>130</v>
      </c>
      <c r="J109" s="35" t="s">
        <v>393</v>
      </c>
      <c r="K109" s="35" t="s">
        <v>53</v>
      </c>
      <c r="L109" s="35" t="s">
        <v>54</v>
      </c>
      <c r="M109" s="35" t="s">
        <v>45</v>
      </c>
      <c r="N109" s="35" t="s">
        <v>46</v>
      </c>
      <c r="O109" s="35" t="s">
        <v>47</v>
      </c>
      <c r="P109" s="35" t="s">
        <v>47</v>
      </c>
      <c r="Q109" s="35" t="s">
        <v>48</v>
      </c>
      <c r="R109" s="35" t="s">
        <v>46</v>
      </c>
      <c r="S109" s="36">
        <v>46094</v>
      </c>
      <c r="T109" s="36">
        <v>46114</v>
      </c>
      <c r="U109" s="35" t="s">
        <v>49</v>
      </c>
      <c r="V109" s="35" t="s">
        <v>348</v>
      </c>
      <c r="W109" s="35" t="s">
        <v>349</v>
      </c>
      <c r="X109" s="36">
        <v>46186</v>
      </c>
      <c r="Y109" s="35" t="s">
        <v>350</v>
      </c>
    </row>
    <row r="110" spans="1:25">
      <c r="A110" s="35" t="s">
        <v>754</v>
      </c>
      <c r="B110" s="35" t="s">
        <v>60</v>
      </c>
      <c r="C110" s="35" t="s">
        <v>755</v>
      </c>
      <c r="D110" s="35" t="s">
        <v>756</v>
      </c>
      <c r="E110" s="35" t="s">
        <v>98</v>
      </c>
      <c r="F110" s="35" t="s">
        <v>98</v>
      </c>
      <c r="G110" s="35" t="s">
        <v>98</v>
      </c>
      <c r="H110" s="35" t="s">
        <v>593</v>
      </c>
      <c r="I110" s="35" t="s">
        <v>346</v>
      </c>
      <c r="J110" s="35" t="s">
        <v>347</v>
      </c>
      <c r="K110" s="35" t="s">
        <v>53</v>
      </c>
      <c r="L110" s="35" t="s">
        <v>54</v>
      </c>
      <c r="M110" s="35" t="s">
        <v>55</v>
      </c>
      <c r="N110" s="35" t="s">
        <v>46</v>
      </c>
      <c r="O110" s="35" t="s">
        <v>47</v>
      </c>
      <c r="P110" s="35" t="s">
        <v>139</v>
      </c>
      <c r="Q110" s="35" t="s">
        <v>58</v>
      </c>
      <c r="R110" s="35" t="s">
        <v>56</v>
      </c>
      <c r="S110" s="36">
        <v>46104</v>
      </c>
      <c r="T110" s="36"/>
      <c r="U110" s="35" t="s">
        <v>56</v>
      </c>
      <c r="V110" s="35" t="s">
        <v>143</v>
      </c>
      <c r="W110" s="35" t="s">
        <v>349</v>
      </c>
      <c r="X110" s="36">
        <v>46185</v>
      </c>
      <c r="Y110" s="35" t="s">
        <v>343</v>
      </c>
    </row>
    <row r="111" spans="1:25">
      <c r="A111" s="35" t="s">
        <v>757</v>
      </c>
      <c r="B111" s="35" t="s">
        <v>61</v>
      </c>
      <c r="C111" s="35" t="s">
        <v>758</v>
      </c>
      <c r="D111" s="35" t="s">
        <v>759</v>
      </c>
      <c r="E111" s="35" t="s">
        <v>83</v>
      </c>
      <c r="F111" s="35" t="s">
        <v>83</v>
      </c>
      <c r="G111" s="35" t="s">
        <v>760</v>
      </c>
      <c r="H111" s="35" t="s">
        <v>606</v>
      </c>
      <c r="I111" s="35" t="s">
        <v>346</v>
      </c>
      <c r="J111" s="35" t="s">
        <v>347</v>
      </c>
      <c r="K111" s="35" t="s">
        <v>53</v>
      </c>
      <c r="L111" s="35" t="s">
        <v>54</v>
      </c>
      <c r="M111" s="35" t="s">
        <v>45</v>
      </c>
      <c r="N111" s="35" t="s">
        <v>46</v>
      </c>
      <c r="O111" s="35" t="s">
        <v>138</v>
      </c>
      <c r="P111" s="35" t="s">
        <v>138</v>
      </c>
      <c r="Q111" s="35" t="s">
        <v>48</v>
      </c>
      <c r="R111" s="35" t="s">
        <v>140</v>
      </c>
      <c r="S111" s="36">
        <v>46093</v>
      </c>
      <c r="T111" s="36"/>
      <c r="U111" s="35" t="s">
        <v>141</v>
      </c>
      <c r="V111" s="35" t="s">
        <v>144</v>
      </c>
      <c r="W111" s="35" t="s">
        <v>330</v>
      </c>
      <c r="X111" s="36">
        <v>46186</v>
      </c>
      <c r="Y111" s="35" t="s">
        <v>389</v>
      </c>
    </row>
    <row r="112" spans="1:25">
      <c r="A112" s="35" t="s">
        <v>761</v>
      </c>
      <c r="B112" s="35" t="s">
        <v>471</v>
      </c>
      <c r="C112" s="35" t="s">
        <v>733</v>
      </c>
      <c r="D112" s="35" t="s">
        <v>762</v>
      </c>
      <c r="E112" s="35" t="s">
        <v>560</v>
      </c>
      <c r="F112" s="35" t="s">
        <v>560</v>
      </c>
      <c r="G112" s="35" t="s">
        <v>560</v>
      </c>
      <c r="H112" s="35" t="s">
        <v>117</v>
      </c>
      <c r="I112" s="35" t="s">
        <v>43</v>
      </c>
      <c r="J112" s="35" t="s">
        <v>357</v>
      </c>
      <c r="K112" s="35" t="s">
        <v>44</v>
      </c>
      <c r="L112" s="35" t="s">
        <v>763</v>
      </c>
      <c r="M112" s="35" t="s">
        <v>55</v>
      </c>
      <c r="N112" s="35" t="s">
        <v>46</v>
      </c>
      <c r="O112" s="35" t="s">
        <v>138</v>
      </c>
      <c r="P112" s="35" t="s">
        <v>139</v>
      </c>
      <c r="Q112" s="35" t="s">
        <v>48</v>
      </c>
      <c r="R112" s="35" t="s">
        <v>137</v>
      </c>
      <c r="S112" s="36">
        <v>46114</v>
      </c>
      <c r="T112" s="36"/>
      <c r="U112" s="35" t="s">
        <v>56</v>
      </c>
      <c r="V112" s="35" t="s">
        <v>151</v>
      </c>
      <c r="W112" s="35" t="s">
        <v>330</v>
      </c>
      <c r="X112" s="36">
        <v>46183</v>
      </c>
      <c r="Y112" s="35" t="s">
        <v>373</v>
      </c>
    </row>
    <row r="113" spans="1:25">
      <c r="A113" s="35" t="s">
        <v>764</v>
      </c>
      <c r="B113" s="35" t="s">
        <v>64</v>
      </c>
      <c r="C113" s="35" t="s">
        <v>765</v>
      </c>
      <c r="D113" s="35" t="s">
        <v>766</v>
      </c>
      <c r="E113" s="35" t="s">
        <v>386</v>
      </c>
      <c r="F113" s="35" t="s">
        <v>386</v>
      </c>
      <c r="G113" s="35" t="s">
        <v>386</v>
      </c>
      <c r="H113" s="35" t="s">
        <v>124</v>
      </c>
      <c r="I113" s="35" t="s">
        <v>130</v>
      </c>
      <c r="J113" s="35" t="s">
        <v>393</v>
      </c>
      <c r="K113" s="35" t="s">
        <v>53</v>
      </c>
      <c r="L113" s="35" t="s">
        <v>54</v>
      </c>
      <c r="M113" s="35" t="s">
        <v>136</v>
      </c>
      <c r="N113" s="35" t="s">
        <v>46</v>
      </c>
      <c r="O113" s="35" t="s">
        <v>139</v>
      </c>
      <c r="P113" s="35" t="s">
        <v>56</v>
      </c>
      <c r="Q113" s="35" t="s">
        <v>48</v>
      </c>
      <c r="R113" s="35" t="s">
        <v>137</v>
      </c>
      <c r="S113" s="36">
        <v>46175</v>
      </c>
      <c r="T113" s="36"/>
      <c r="U113" s="35" t="s">
        <v>56</v>
      </c>
      <c r="V113" s="35" t="s">
        <v>364</v>
      </c>
      <c r="W113" s="35" t="s">
        <v>338</v>
      </c>
      <c r="X113" s="36">
        <v>46182</v>
      </c>
      <c r="Y113" s="35" t="s">
        <v>366</v>
      </c>
    </row>
    <row r="114" spans="1:25">
      <c r="A114" s="35" t="s">
        <v>767</v>
      </c>
      <c r="B114" s="35" t="s">
        <v>375</v>
      </c>
      <c r="C114" s="35" t="s">
        <v>768</v>
      </c>
      <c r="D114" s="35" t="s">
        <v>769</v>
      </c>
      <c r="E114" s="35" t="s">
        <v>88</v>
      </c>
      <c r="F114" s="35" t="s">
        <v>88</v>
      </c>
      <c r="G114" s="35" t="s">
        <v>769</v>
      </c>
      <c r="H114" s="35" t="s">
        <v>419</v>
      </c>
      <c r="I114" s="35" t="s">
        <v>132</v>
      </c>
      <c r="J114" s="35" t="s">
        <v>401</v>
      </c>
      <c r="K114" s="35" t="s">
        <v>53</v>
      </c>
      <c r="L114" s="35" t="s">
        <v>54</v>
      </c>
      <c r="M114" s="35" t="s">
        <v>45</v>
      </c>
      <c r="N114" s="35" t="s">
        <v>46</v>
      </c>
      <c r="O114" s="35" t="s">
        <v>138</v>
      </c>
      <c r="P114" s="35" t="s">
        <v>138</v>
      </c>
      <c r="Q114" s="35" t="s">
        <v>48</v>
      </c>
      <c r="R114" s="35" t="s">
        <v>140</v>
      </c>
      <c r="S114" s="36">
        <v>46108</v>
      </c>
      <c r="T114" s="36"/>
      <c r="U114" s="35" t="s">
        <v>141</v>
      </c>
      <c r="V114" s="35" t="s">
        <v>412</v>
      </c>
      <c r="W114" s="35" t="s">
        <v>441</v>
      </c>
      <c r="X114" s="36">
        <v>46176</v>
      </c>
      <c r="Y114" s="35" t="s">
        <v>413</v>
      </c>
    </row>
    <row r="115" spans="1:25">
      <c r="A115" s="35" t="s">
        <v>770</v>
      </c>
      <c r="B115" s="35" t="s">
        <v>70</v>
      </c>
      <c r="C115" s="35" t="s">
        <v>771</v>
      </c>
      <c r="D115" s="35" t="s">
        <v>772</v>
      </c>
      <c r="E115" s="35" t="s">
        <v>105</v>
      </c>
      <c r="F115" s="35" t="s">
        <v>105</v>
      </c>
      <c r="G115" s="35" t="s">
        <v>772</v>
      </c>
      <c r="H115" s="35" t="s">
        <v>335</v>
      </c>
      <c r="I115" s="35" t="s">
        <v>43</v>
      </c>
      <c r="J115" s="35" t="s">
        <v>357</v>
      </c>
      <c r="K115" s="35" t="s">
        <v>44</v>
      </c>
      <c r="L115" s="35" t="s">
        <v>773</v>
      </c>
      <c r="M115" s="35" t="s">
        <v>45</v>
      </c>
      <c r="N115" s="35" t="s">
        <v>46</v>
      </c>
      <c r="O115" s="35" t="s">
        <v>138</v>
      </c>
      <c r="P115" s="35" t="s">
        <v>138</v>
      </c>
      <c r="Q115" s="35" t="s">
        <v>48</v>
      </c>
      <c r="R115" s="35" t="s">
        <v>140</v>
      </c>
      <c r="S115" s="36">
        <v>46128</v>
      </c>
      <c r="T115" s="36"/>
      <c r="U115" s="35" t="s">
        <v>141</v>
      </c>
      <c r="V115" s="35" t="s">
        <v>412</v>
      </c>
      <c r="W115" s="35" t="s">
        <v>349</v>
      </c>
      <c r="X115" s="36">
        <v>46176</v>
      </c>
      <c r="Y115" s="35" t="s">
        <v>413</v>
      </c>
    </row>
    <row r="116" spans="1:25">
      <c r="A116" s="35" t="s">
        <v>774</v>
      </c>
      <c r="B116" s="35" t="s">
        <v>63</v>
      </c>
      <c r="C116" s="35" t="s">
        <v>775</v>
      </c>
      <c r="D116" s="35" t="s">
        <v>776</v>
      </c>
      <c r="E116" s="35" t="s">
        <v>427</v>
      </c>
      <c r="F116" s="35" t="s">
        <v>427</v>
      </c>
      <c r="G116" s="35" t="s">
        <v>427</v>
      </c>
      <c r="H116" s="35" t="s">
        <v>363</v>
      </c>
      <c r="I116" s="35" t="s">
        <v>43</v>
      </c>
      <c r="J116" s="35" t="s">
        <v>357</v>
      </c>
      <c r="K116" s="35" t="s">
        <v>44</v>
      </c>
      <c r="L116" s="35" t="s">
        <v>777</v>
      </c>
      <c r="M116" s="35" t="s">
        <v>45</v>
      </c>
      <c r="N116" s="35" t="s">
        <v>137</v>
      </c>
      <c r="O116" s="35" t="s">
        <v>57</v>
      </c>
      <c r="P116" s="35" t="s">
        <v>57</v>
      </c>
      <c r="Q116" s="35" t="s">
        <v>58</v>
      </c>
      <c r="R116" s="35" t="s">
        <v>57</v>
      </c>
      <c r="S116" s="36">
        <v>46042</v>
      </c>
      <c r="T116" s="36"/>
      <c r="U116" s="35" t="s">
        <v>56</v>
      </c>
      <c r="V116" s="35" t="s">
        <v>147</v>
      </c>
      <c r="W116" s="35" t="s">
        <v>441</v>
      </c>
      <c r="X116" s="36">
        <v>46176</v>
      </c>
      <c r="Y116" s="35" t="s">
        <v>406</v>
      </c>
    </row>
    <row r="117" spans="1:25">
      <c r="A117" s="35" t="s">
        <v>778</v>
      </c>
      <c r="B117" s="35" t="s">
        <v>62</v>
      </c>
      <c r="C117" s="35" t="s">
        <v>509</v>
      </c>
      <c r="D117" s="35" t="s">
        <v>779</v>
      </c>
      <c r="E117" s="35" t="s">
        <v>86</v>
      </c>
      <c r="F117" s="35" t="s">
        <v>86</v>
      </c>
      <c r="G117" s="35" t="s">
        <v>86</v>
      </c>
      <c r="H117" s="35" t="s">
        <v>123</v>
      </c>
      <c r="I117" s="35" t="s">
        <v>132</v>
      </c>
      <c r="J117" s="35" t="s">
        <v>401</v>
      </c>
      <c r="K117" s="35" t="s">
        <v>53</v>
      </c>
      <c r="L117" s="35" t="s">
        <v>54</v>
      </c>
      <c r="M117" s="35" t="s">
        <v>45</v>
      </c>
      <c r="N117" s="35" t="s">
        <v>46</v>
      </c>
      <c r="O117" s="35" t="s">
        <v>47</v>
      </c>
      <c r="P117" s="35" t="s">
        <v>47</v>
      </c>
      <c r="Q117" s="35" t="s">
        <v>48</v>
      </c>
      <c r="R117" s="35" t="s">
        <v>46</v>
      </c>
      <c r="S117" s="36">
        <v>46092</v>
      </c>
      <c r="T117" s="36">
        <v>46112</v>
      </c>
      <c r="U117" s="35" t="s">
        <v>49</v>
      </c>
      <c r="V117" s="35" t="s">
        <v>348</v>
      </c>
      <c r="W117" s="35" t="s">
        <v>441</v>
      </c>
      <c r="X117" s="36">
        <v>46179</v>
      </c>
      <c r="Y117" s="35" t="s">
        <v>350</v>
      </c>
    </row>
    <row r="118" spans="1:25">
      <c r="A118" s="35" t="s">
        <v>780</v>
      </c>
      <c r="B118" s="35" t="s">
        <v>340</v>
      </c>
      <c r="C118" s="35" t="s">
        <v>781</v>
      </c>
      <c r="D118" s="35" t="s">
        <v>782</v>
      </c>
      <c r="E118" s="35" t="s">
        <v>99</v>
      </c>
      <c r="F118" s="35" t="s">
        <v>99</v>
      </c>
      <c r="G118" s="35" t="s">
        <v>99</v>
      </c>
      <c r="H118" s="35" t="s">
        <v>119</v>
      </c>
      <c r="I118" s="35" t="s">
        <v>132</v>
      </c>
      <c r="J118" s="35" t="s">
        <v>401</v>
      </c>
      <c r="K118" s="35" t="s">
        <v>53</v>
      </c>
      <c r="L118" s="35" t="s">
        <v>54</v>
      </c>
      <c r="M118" s="35" t="s">
        <v>45</v>
      </c>
      <c r="N118" s="35" t="s">
        <v>46</v>
      </c>
      <c r="O118" s="35" t="s">
        <v>47</v>
      </c>
      <c r="P118" s="35" t="s">
        <v>56</v>
      </c>
      <c r="Q118" s="35" t="s">
        <v>48</v>
      </c>
      <c r="R118" s="35" t="s">
        <v>137</v>
      </c>
      <c r="S118" s="36">
        <v>46175</v>
      </c>
      <c r="T118" s="36"/>
      <c r="U118" s="35" t="s">
        <v>56</v>
      </c>
      <c r="V118" s="35" t="s">
        <v>364</v>
      </c>
      <c r="W118" s="35" t="s">
        <v>365</v>
      </c>
      <c r="X118" s="36">
        <v>46180</v>
      </c>
      <c r="Y118" s="35" t="s">
        <v>366</v>
      </c>
    </row>
    <row r="119" spans="1:25">
      <c r="A119" s="35" t="s">
        <v>783</v>
      </c>
      <c r="B119" s="35" t="s">
        <v>77</v>
      </c>
      <c r="C119" s="35" t="s">
        <v>784</v>
      </c>
      <c r="D119" s="35" t="s">
        <v>785</v>
      </c>
      <c r="E119" s="35" t="s">
        <v>41</v>
      </c>
      <c r="F119" s="35" t="s">
        <v>41</v>
      </c>
      <c r="G119" s="35" t="s">
        <v>41</v>
      </c>
      <c r="H119" s="35" t="s">
        <v>111</v>
      </c>
      <c r="I119" s="35" t="s">
        <v>51</v>
      </c>
      <c r="J119" s="35" t="s">
        <v>52</v>
      </c>
      <c r="K119" s="35" t="s">
        <v>53</v>
      </c>
      <c r="L119" s="35" t="s">
        <v>54</v>
      </c>
      <c r="M119" s="35" t="s">
        <v>45</v>
      </c>
      <c r="N119" s="35" t="s">
        <v>46</v>
      </c>
      <c r="O119" s="35" t="s">
        <v>47</v>
      </c>
      <c r="P119" s="35" t="s">
        <v>47</v>
      </c>
      <c r="Q119" s="35" t="s">
        <v>48</v>
      </c>
      <c r="R119" s="35" t="s">
        <v>46</v>
      </c>
      <c r="S119" s="36">
        <v>46119</v>
      </c>
      <c r="T119" s="36">
        <v>46126</v>
      </c>
      <c r="U119" s="35" t="s">
        <v>49</v>
      </c>
      <c r="V119" s="35" t="s">
        <v>348</v>
      </c>
      <c r="W119" s="35" t="s">
        <v>441</v>
      </c>
      <c r="X119" s="36">
        <v>46178</v>
      </c>
      <c r="Y119" s="35" t="s">
        <v>350</v>
      </c>
    </row>
    <row r="120" spans="1:25">
      <c r="A120" s="35" t="s">
        <v>786</v>
      </c>
      <c r="B120" s="35" t="s">
        <v>62</v>
      </c>
      <c r="C120" s="35" t="s">
        <v>787</v>
      </c>
      <c r="D120" s="35" t="s">
        <v>788</v>
      </c>
      <c r="E120" s="35" t="s">
        <v>89</v>
      </c>
      <c r="F120" s="35" t="s">
        <v>89</v>
      </c>
      <c r="G120" s="35" t="s">
        <v>788</v>
      </c>
      <c r="H120" s="35" t="s">
        <v>118</v>
      </c>
      <c r="I120" s="35" t="s">
        <v>131</v>
      </c>
      <c r="J120" s="35" t="s">
        <v>342</v>
      </c>
      <c r="K120" s="35" t="s">
        <v>53</v>
      </c>
      <c r="L120" s="35" t="s">
        <v>54</v>
      </c>
      <c r="M120" s="35" t="s">
        <v>55</v>
      </c>
      <c r="N120" s="35" t="s">
        <v>46</v>
      </c>
      <c r="O120" s="35" t="s">
        <v>138</v>
      </c>
      <c r="P120" s="35" t="s">
        <v>139</v>
      </c>
      <c r="Q120" s="35" t="s">
        <v>48</v>
      </c>
      <c r="R120" s="35" t="s">
        <v>140</v>
      </c>
      <c r="S120" s="36">
        <v>46129</v>
      </c>
      <c r="T120" s="36"/>
      <c r="U120" s="35" t="s">
        <v>141</v>
      </c>
      <c r="V120" s="35" t="s">
        <v>412</v>
      </c>
      <c r="W120" s="35" t="s">
        <v>338</v>
      </c>
      <c r="X120" s="36">
        <v>46184</v>
      </c>
      <c r="Y120" s="35" t="s">
        <v>413</v>
      </c>
    </row>
    <row r="121" spans="1:25">
      <c r="A121" s="35" t="s">
        <v>789</v>
      </c>
      <c r="B121" s="35" t="s">
        <v>70</v>
      </c>
      <c r="C121" s="35" t="s">
        <v>790</v>
      </c>
      <c r="D121" s="35" t="s">
        <v>791</v>
      </c>
      <c r="E121" s="35" t="s">
        <v>681</v>
      </c>
      <c r="F121" s="35" t="s">
        <v>681</v>
      </c>
      <c r="G121" s="35" t="s">
        <v>681</v>
      </c>
      <c r="H121" s="35" t="s">
        <v>108</v>
      </c>
      <c r="I121" s="35" t="s">
        <v>43</v>
      </c>
      <c r="J121" s="35" t="s">
        <v>357</v>
      </c>
      <c r="K121" s="35" t="s">
        <v>44</v>
      </c>
      <c r="L121" s="35" t="s">
        <v>792</v>
      </c>
      <c r="M121" s="35" t="s">
        <v>45</v>
      </c>
      <c r="N121" s="35" t="s">
        <v>46</v>
      </c>
      <c r="O121" s="35" t="s">
        <v>47</v>
      </c>
      <c r="P121" s="35" t="s">
        <v>56</v>
      </c>
      <c r="Q121" s="35" t="s">
        <v>48</v>
      </c>
      <c r="R121" s="35" t="s">
        <v>137</v>
      </c>
      <c r="S121" s="36">
        <v>46170</v>
      </c>
      <c r="T121" s="36"/>
      <c r="U121" s="35" t="s">
        <v>56</v>
      </c>
      <c r="V121" s="35" t="s">
        <v>364</v>
      </c>
      <c r="W121" s="35" t="s">
        <v>349</v>
      </c>
      <c r="X121" s="36">
        <v>46180</v>
      </c>
      <c r="Y121" s="35" t="s">
        <v>366</v>
      </c>
    </row>
    <row r="122" spans="1:25">
      <c r="A122" s="35" t="s">
        <v>793</v>
      </c>
      <c r="B122" s="35" t="s">
        <v>59</v>
      </c>
      <c r="C122" s="35" t="s">
        <v>794</v>
      </c>
      <c r="D122" s="35" t="s">
        <v>795</v>
      </c>
      <c r="E122" s="35" t="s">
        <v>439</v>
      </c>
      <c r="F122" s="35" t="s">
        <v>439</v>
      </c>
      <c r="G122" s="35" t="s">
        <v>795</v>
      </c>
      <c r="H122" s="35" t="s">
        <v>397</v>
      </c>
      <c r="I122" s="35" t="s">
        <v>130</v>
      </c>
      <c r="J122" s="35" t="s">
        <v>393</v>
      </c>
      <c r="K122" s="35" t="s">
        <v>53</v>
      </c>
      <c r="L122" s="35" t="s">
        <v>54</v>
      </c>
      <c r="M122" s="35" t="s">
        <v>45</v>
      </c>
      <c r="N122" s="35" t="s">
        <v>46</v>
      </c>
      <c r="O122" s="35" t="s">
        <v>138</v>
      </c>
      <c r="P122" s="35" t="s">
        <v>138</v>
      </c>
      <c r="Q122" s="35" t="s">
        <v>48</v>
      </c>
      <c r="R122" s="35" t="s">
        <v>140</v>
      </c>
      <c r="S122" s="36">
        <v>46150</v>
      </c>
      <c r="T122" s="36"/>
      <c r="U122" s="35" t="s">
        <v>141</v>
      </c>
      <c r="V122" s="35" t="s">
        <v>412</v>
      </c>
      <c r="W122" s="35" t="s">
        <v>330</v>
      </c>
      <c r="X122" s="36">
        <v>46177</v>
      </c>
      <c r="Y122" s="35" t="s">
        <v>413</v>
      </c>
    </row>
    <row r="123" spans="1:25">
      <c r="A123" s="35" t="s">
        <v>796</v>
      </c>
      <c r="B123" s="35" t="s">
        <v>75</v>
      </c>
      <c r="C123" s="35" t="s">
        <v>797</v>
      </c>
      <c r="D123" s="35" t="s">
        <v>798</v>
      </c>
      <c r="E123" s="35" t="s">
        <v>90</v>
      </c>
      <c r="F123" s="35" t="s">
        <v>90</v>
      </c>
      <c r="G123" s="35" t="s">
        <v>544</v>
      </c>
      <c r="H123" s="35" t="s">
        <v>619</v>
      </c>
      <c r="I123" s="35" t="s">
        <v>51</v>
      </c>
      <c r="J123" s="35" t="s">
        <v>52</v>
      </c>
      <c r="K123" s="35" t="s">
        <v>53</v>
      </c>
      <c r="L123" s="35" t="s">
        <v>54</v>
      </c>
      <c r="M123" s="35" t="s">
        <v>45</v>
      </c>
      <c r="N123" s="35" t="s">
        <v>46</v>
      </c>
      <c r="O123" s="35" t="s">
        <v>138</v>
      </c>
      <c r="P123" s="35" t="s">
        <v>138</v>
      </c>
      <c r="Q123" s="35" t="s">
        <v>48</v>
      </c>
      <c r="R123" s="35" t="s">
        <v>140</v>
      </c>
      <c r="S123" s="36">
        <v>46134</v>
      </c>
      <c r="T123" s="36"/>
      <c r="U123" s="35" t="s">
        <v>141</v>
      </c>
      <c r="V123" s="35" t="s">
        <v>144</v>
      </c>
      <c r="W123" s="35" t="s">
        <v>338</v>
      </c>
      <c r="X123" s="36">
        <v>46185</v>
      </c>
      <c r="Y123" s="35" t="s">
        <v>389</v>
      </c>
    </row>
    <row r="124" spans="1:25">
      <c r="A124" s="35" t="s">
        <v>799</v>
      </c>
      <c r="B124" s="35" t="s">
        <v>70</v>
      </c>
      <c r="C124" s="35" t="s">
        <v>800</v>
      </c>
      <c r="D124" s="35" t="s">
        <v>801</v>
      </c>
      <c r="E124" s="35" t="s">
        <v>735</v>
      </c>
      <c r="F124" s="35" t="s">
        <v>735</v>
      </c>
      <c r="G124" s="35" t="s">
        <v>735</v>
      </c>
      <c r="H124" s="35" t="s">
        <v>492</v>
      </c>
      <c r="I124" s="35" t="s">
        <v>43</v>
      </c>
      <c r="J124" s="35" t="s">
        <v>357</v>
      </c>
      <c r="K124" s="35" t="s">
        <v>44</v>
      </c>
      <c r="L124" s="35" t="s">
        <v>802</v>
      </c>
      <c r="M124" s="35" t="s">
        <v>45</v>
      </c>
      <c r="N124" s="35" t="s">
        <v>46</v>
      </c>
      <c r="O124" s="35" t="s">
        <v>47</v>
      </c>
      <c r="P124" s="35" t="s">
        <v>47</v>
      </c>
      <c r="Q124" s="35" t="s">
        <v>48</v>
      </c>
      <c r="R124" s="35" t="s">
        <v>46</v>
      </c>
      <c r="S124" s="36">
        <v>46092</v>
      </c>
      <c r="T124" s="36">
        <v>46105</v>
      </c>
      <c r="U124" s="35" t="s">
        <v>49</v>
      </c>
      <c r="V124" s="35" t="s">
        <v>348</v>
      </c>
      <c r="W124" s="35" t="s">
        <v>365</v>
      </c>
      <c r="X124" s="36">
        <v>46183</v>
      </c>
      <c r="Y124" s="35" t="s">
        <v>350</v>
      </c>
    </row>
    <row r="125" spans="1:25">
      <c r="A125" s="35" t="s">
        <v>803</v>
      </c>
      <c r="B125" s="35" t="s">
        <v>67</v>
      </c>
      <c r="C125" s="35" t="s">
        <v>368</v>
      </c>
      <c r="D125" s="35" t="s">
        <v>804</v>
      </c>
      <c r="E125" s="35" t="s">
        <v>560</v>
      </c>
      <c r="F125" s="35" t="s">
        <v>560</v>
      </c>
      <c r="G125" s="35" t="s">
        <v>804</v>
      </c>
      <c r="H125" s="35" t="s">
        <v>649</v>
      </c>
      <c r="I125" s="35" t="s">
        <v>131</v>
      </c>
      <c r="J125" s="35" t="s">
        <v>342</v>
      </c>
      <c r="K125" s="35" t="s">
        <v>53</v>
      </c>
      <c r="L125" s="35" t="s">
        <v>54</v>
      </c>
      <c r="M125" s="35" t="s">
        <v>55</v>
      </c>
      <c r="N125" s="35" t="s">
        <v>46</v>
      </c>
      <c r="O125" s="35" t="s">
        <v>138</v>
      </c>
      <c r="P125" s="35" t="s">
        <v>139</v>
      </c>
      <c r="Q125" s="35" t="s">
        <v>48</v>
      </c>
      <c r="R125" s="35" t="s">
        <v>140</v>
      </c>
      <c r="S125" s="36">
        <v>46102</v>
      </c>
      <c r="T125" s="36"/>
      <c r="U125" s="35" t="s">
        <v>141</v>
      </c>
      <c r="V125" s="35" t="s">
        <v>412</v>
      </c>
      <c r="W125" s="35" t="s">
        <v>365</v>
      </c>
      <c r="X125" s="36">
        <v>46181</v>
      </c>
      <c r="Y125" s="35" t="s">
        <v>413</v>
      </c>
    </row>
    <row r="126" spans="1:25">
      <c r="A126" s="35" t="s">
        <v>805</v>
      </c>
      <c r="B126" s="35" t="s">
        <v>60</v>
      </c>
      <c r="C126" s="35" t="s">
        <v>806</v>
      </c>
      <c r="D126" s="35" t="s">
        <v>807</v>
      </c>
      <c r="E126" s="35" t="s">
        <v>87</v>
      </c>
      <c r="F126" s="35" t="s">
        <v>87</v>
      </c>
      <c r="G126" s="35" t="s">
        <v>87</v>
      </c>
      <c r="H126" s="35" t="s">
        <v>500</v>
      </c>
      <c r="I126" s="35" t="s">
        <v>43</v>
      </c>
      <c r="J126" s="35" t="s">
        <v>336</v>
      </c>
      <c r="K126" s="35" t="s">
        <v>44</v>
      </c>
      <c r="L126" s="35" t="s">
        <v>808</v>
      </c>
      <c r="M126" s="35" t="s">
        <v>136</v>
      </c>
      <c r="N126" s="35" t="s">
        <v>46</v>
      </c>
      <c r="O126" s="35" t="s">
        <v>139</v>
      </c>
      <c r="P126" s="35" t="s">
        <v>138</v>
      </c>
      <c r="Q126" s="35" t="s">
        <v>48</v>
      </c>
      <c r="R126" s="35" t="s">
        <v>140</v>
      </c>
      <c r="S126" s="36">
        <v>46070</v>
      </c>
      <c r="T126" s="36"/>
      <c r="U126" s="35" t="s">
        <v>141</v>
      </c>
      <c r="V126" s="35" t="s">
        <v>329</v>
      </c>
      <c r="W126" s="35" t="s">
        <v>330</v>
      </c>
      <c r="X126" s="36">
        <v>46184</v>
      </c>
      <c r="Y126" s="35" t="s">
        <v>331</v>
      </c>
    </row>
    <row r="127" spans="1:25">
      <c r="A127" s="35" t="s">
        <v>809</v>
      </c>
      <c r="B127" s="35" t="s">
        <v>77</v>
      </c>
      <c r="C127" s="35" t="s">
        <v>810</v>
      </c>
      <c r="D127" s="35" t="s">
        <v>811</v>
      </c>
      <c r="E127" s="35" t="s">
        <v>104</v>
      </c>
      <c r="F127" s="35" t="s">
        <v>104</v>
      </c>
      <c r="G127" s="35" t="s">
        <v>104</v>
      </c>
      <c r="H127" s="35" t="s">
        <v>812</v>
      </c>
      <c r="I127" s="35" t="s">
        <v>132</v>
      </c>
      <c r="J127" s="35" t="s">
        <v>530</v>
      </c>
      <c r="K127" s="35" t="s">
        <v>53</v>
      </c>
      <c r="L127" s="35" t="s">
        <v>54</v>
      </c>
      <c r="M127" s="35" t="s">
        <v>45</v>
      </c>
      <c r="N127" s="35" t="s">
        <v>46</v>
      </c>
      <c r="O127" s="35" t="s">
        <v>138</v>
      </c>
      <c r="P127" s="35" t="s">
        <v>138</v>
      </c>
      <c r="Q127" s="35" t="s">
        <v>48</v>
      </c>
      <c r="R127" s="35" t="s">
        <v>140</v>
      </c>
      <c r="S127" s="36">
        <v>46110</v>
      </c>
      <c r="T127" s="36"/>
      <c r="U127" s="35" t="s">
        <v>141</v>
      </c>
      <c r="V127" s="35" t="s">
        <v>329</v>
      </c>
      <c r="W127" s="35" t="s">
        <v>441</v>
      </c>
      <c r="X127" s="36">
        <v>46185</v>
      </c>
      <c r="Y127" s="35" t="s">
        <v>331</v>
      </c>
    </row>
    <row r="128" spans="1:25">
      <c r="A128" s="35" t="s">
        <v>813</v>
      </c>
      <c r="B128" s="35" t="s">
        <v>61</v>
      </c>
      <c r="C128" s="35" t="s">
        <v>814</v>
      </c>
      <c r="D128" s="35" t="s">
        <v>815</v>
      </c>
      <c r="E128" s="35" t="s">
        <v>95</v>
      </c>
      <c r="F128" s="35" t="s">
        <v>95</v>
      </c>
      <c r="G128" s="35" t="s">
        <v>95</v>
      </c>
      <c r="H128" s="35" t="s">
        <v>119</v>
      </c>
      <c r="I128" s="35" t="s">
        <v>129</v>
      </c>
      <c r="J128" s="35" t="s">
        <v>134</v>
      </c>
      <c r="K128" s="35" t="s">
        <v>44</v>
      </c>
      <c r="L128" s="35" t="s">
        <v>816</v>
      </c>
      <c r="M128" s="35" t="s">
        <v>45</v>
      </c>
      <c r="N128" s="35" t="s">
        <v>46</v>
      </c>
      <c r="O128" s="35" t="s">
        <v>47</v>
      </c>
      <c r="P128" s="35" t="s">
        <v>47</v>
      </c>
      <c r="Q128" s="35" t="s">
        <v>48</v>
      </c>
      <c r="R128" s="35" t="s">
        <v>46</v>
      </c>
      <c r="S128" s="36">
        <v>46064</v>
      </c>
      <c r="T128" s="36">
        <v>46076</v>
      </c>
      <c r="U128" s="35" t="s">
        <v>49</v>
      </c>
      <c r="V128" s="35" t="s">
        <v>348</v>
      </c>
      <c r="W128" s="35" t="s">
        <v>441</v>
      </c>
      <c r="X128" s="36">
        <v>46184</v>
      </c>
      <c r="Y128" s="35" t="s">
        <v>350</v>
      </c>
    </row>
    <row r="129" spans="1:25">
      <c r="A129" s="35" t="s">
        <v>817</v>
      </c>
      <c r="B129" s="35" t="s">
        <v>391</v>
      </c>
      <c r="C129" s="35" t="s">
        <v>818</v>
      </c>
      <c r="D129" s="35" t="s">
        <v>819</v>
      </c>
      <c r="E129" s="35" t="s">
        <v>96</v>
      </c>
      <c r="F129" s="35" t="s">
        <v>96</v>
      </c>
      <c r="G129" s="35" t="s">
        <v>760</v>
      </c>
      <c r="H129" s="35" t="s">
        <v>108</v>
      </c>
      <c r="I129" s="35" t="s">
        <v>132</v>
      </c>
      <c r="J129" s="35" t="s">
        <v>401</v>
      </c>
      <c r="K129" s="35" t="s">
        <v>53</v>
      </c>
      <c r="L129" s="35" t="s">
        <v>54</v>
      </c>
      <c r="M129" s="35" t="s">
        <v>136</v>
      </c>
      <c r="N129" s="35" t="s">
        <v>46</v>
      </c>
      <c r="O129" s="35" t="s">
        <v>139</v>
      </c>
      <c r="P129" s="35" t="s">
        <v>138</v>
      </c>
      <c r="Q129" s="35" t="s">
        <v>48</v>
      </c>
      <c r="R129" s="35" t="s">
        <v>140</v>
      </c>
      <c r="S129" s="36">
        <v>46043</v>
      </c>
      <c r="T129" s="36"/>
      <c r="U129" s="35" t="s">
        <v>141</v>
      </c>
      <c r="V129" s="35" t="s">
        <v>144</v>
      </c>
      <c r="W129" s="35" t="s">
        <v>441</v>
      </c>
      <c r="X129" s="36">
        <v>46185</v>
      </c>
      <c r="Y129" s="35" t="s">
        <v>389</v>
      </c>
    </row>
    <row r="130" spans="1:25">
      <c r="A130" s="35" t="s">
        <v>820</v>
      </c>
      <c r="B130" s="35" t="s">
        <v>361</v>
      </c>
      <c r="C130" s="35" t="s">
        <v>821</v>
      </c>
      <c r="D130" s="35" t="s">
        <v>822</v>
      </c>
      <c r="E130" s="35" t="s">
        <v>101</v>
      </c>
      <c r="F130" s="35" t="s">
        <v>101</v>
      </c>
      <c r="G130" s="35" t="s">
        <v>101</v>
      </c>
      <c r="H130" s="35" t="s">
        <v>113</v>
      </c>
      <c r="I130" s="35" t="s">
        <v>51</v>
      </c>
      <c r="J130" s="35" t="s">
        <v>52</v>
      </c>
      <c r="K130" s="35" t="s">
        <v>53</v>
      </c>
      <c r="L130" s="35" t="s">
        <v>54</v>
      </c>
      <c r="M130" s="35" t="s">
        <v>136</v>
      </c>
      <c r="N130" s="35" t="s">
        <v>46</v>
      </c>
      <c r="O130" s="35" t="s">
        <v>139</v>
      </c>
      <c r="P130" s="35" t="s">
        <v>47</v>
      </c>
      <c r="Q130" s="35" t="s">
        <v>48</v>
      </c>
      <c r="R130" s="35" t="s">
        <v>46</v>
      </c>
      <c r="S130" s="36">
        <v>46073</v>
      </c>
      <c r="T130" s="36">
        <v>46089</v>
      </c>
      <c r="U130" s="35" t="s">
        <v>49</v>
      </c>
      <c r="V130" s="35" t="s">
        <v>348</v>
      </c>
      <c r="W130" s="35" t="s">
        <v>349</v>
      </c>
      <c r="X130" s="36">
        <v>46186</v>
      </c>
      <c r="Y130" s="35" t="s">
        <v>350</v>
      </c>
    </row>
    <row r="131" spans="1:25">
      <c r="A131" s="35" t="s">
        <v>823</v>
      </c>
      <c r="B131" s="35" t="s">
        <v>62</v>
      </c>
      <c r="C131" s="35" t="s">
        <v>824</v>
      </c>
      <c r="D131" s="35" t="s">
        <v>825</v>
      </c>
      <c r="E131" s="35" t="s">
        <v>826</v>
      </c>
      <c r="F131" s="35" t="s">
        <v>826</v>
      </c>
      <c r="G131" s="35" t="s">
        <v>825</v>
      </c>
      <c r="H131" s="35" t="s">
        <v>397</v>
      </c>
      <c r="I131" s="35" t="s">
        <v>129</v>
      </c>
      <c r="J131" s="35" t="s">
        <v>134</v>
      </c>
      <c r="K131" s="35" t="s">
        <v>44</v>
      </c>
      <c r="L131" s="35" t="s">
        <v>827</v>
      </c>
      <c r="M131" s="35" t="s">
        <v>136</v>
      </c>
      <c r="N131" s="35" t="s">
        <v>46</v>
      </c>
      <c r="O131" s="35" t="s">
        <v>139</v>
      </c>
      <c r="P131" s="35" t="s">
        <v>138</v>
      </c>
      <c r="Q131" s="35" t="s">
        <v>48</v>
      </c>
      <c r="R131" s="35" t="s">
        <v>140</v>
      </c>
      <c r="S131" s="36">
        <v>46077</v>
      </c>
      <c r="T131" s="36"/>
      <c r="U131" s="35" t="s">
        <v>141</v>
      </c>
      <c r="V131" s="35" t="s">
        <v>412</v>
      </c>
      <c r="W131" s="35" t="s">
        <v>441</v>
      </c>
      <c r="X131" s="36">
        <v>46181</v>
      </c>
      <c r="Y131" s="35" t="s">
        <v>413</v>
      </c>
    </row>
    <row r="132" spans="1:25">
      <c r="A132" s="35" t="s">
        <v>828</v>
      </c>
      <c r="B132" s="35" t="s">
        <v>391</v>
      </c>
      <c r="C132" s="35" t="s">
        <v>829</v>
      </c>
      <c r="D132" s="35" t="s">
        <v>830</v>
      </c>
      <c r="E132" s="35" t="s">
        <v>87</v>
      </c>
      <c r="F132" s="35" t="s">
        <v>87</v>
      </c>
      <c r="G132" s="35" t="s">
        <v>87</v>
      </c>
      <c r="H132" s="35" t="s">
        <v>382</v>
      </c>
      <c r="I132" s="35" t="s">
        <v>43</v>
      </c>
      <c r="J132" s="35" t="s">
        <v>831</v>
      </c>
      <c r="K132" s="35" t="s">
        <v>44</v>
      </c>
      <c r="L132" s="35" t="s">
        <v>832</v>
      </c>
      <c r="M132" s="35" t="s">
        <v>55</v>
      </c>
      <c r="N132" s="35" t="s">
        <v>46</v>
      </c>
      <c r="O132" s="35" t="s">
        <v>138</v>
      </c>
      <c r="P132" s="35" t="s">
        <v>139</v>
      </c>
      <c r="Q132" s="35" t="s">
        <v>48</v>
      </c>
      <c r="R132" s="35" t="s">
        <v>140</v>
      </c>
      <c r="S132" s="36">
        <v>46057</v>
      </c>
      <c r="T132" s="36"/>
      <c r="U132" s="35" t="s">
        <v>141</v>
      </c>
      <c r="V132" s="35" t="s">
        <v>329</v>
      </c>
      <c r="W132" s="35" t="s">
        <v>349</v>
      </c>
      <c r="X132" s="36">
        <v>46180</v>
      </c>
      <c r="Y132" s="35" t="s">
        <v>331</v>
      </c>
    </row>
    <row r="133" spans="1:25">
      <c r="A133" s="35" t="s">
        <v>833</v>
      </c>
      <c r="B133" s="35" t="s">
        <v>71</v>
      </c>
      <c r="C133" s="35" t="s">
        <v>834</v>
      </c>
      <c r="D133" s="35" t="s">
        <v>835</v>
      </c>
      <c r="E133" s="35" t="s">
        <v>560</v>
      </c>
      <c r="F133" s="35" t="s">
        <v>560</v>
      </c>
      <c r="G133" s="35" t="s">
        <v>835</v>
      </c>
      <c r="H133" s="35" t="s">
        <v>465</v>
      </c>
      <c r="I133" s="35" t="s">
        <v>51</v>
      </c>
      <c r="J133" s="35" t="s">
        <v>52</v>
      </c>
      <c r="K133" s="35" t="s">
        <v>53</v>
      </c>
      <c r="L133" s="35" t="s">
        <v>54</v>
      </c>
      <c r="M133" s="35" t="s">
        <v>55</v>
      </c>
      <c r="N133" s="35" t="s">
        <v>46</v>
      </c>
      <c r="O133" s="35" t="s">
        <v>138</v>
      </c>
      <c r="P133" s="35" t="s">
        <v>139</v>
      </c>
      <c r="Q133" s="35" t="s">
        <v>48</v>
      </c>
      <c r="R133" s="35" t="s">
        <v>140</v>
      </c>
      <c r="S133" s="36">
        <v>46125</v>
      </c>
      <c r="T133" s="36"/>
      <c r="U133" s="35" t="s">
        <v>141</v>
      </c>
      <c r="V133" s="35" t="s">
        <v>412</v>
      </c>
      <c r="W133" s="35" t="s">
        <v>330</v>
      </c>
      <c r="X133" s="36">
        <v>46182</v>
      </c>
      <c r="Y133" s="35" t="s">
        <v>413</v>
      </c>
    </row>
    <row r="134" spans="1:25">
      <c r="A134" s="35" t="s">
        <v>836</v>
      </c>
      <c r="B134" s="35" t="s">
        <v>77</v>
      </c>
      <c r="C134" s="35" t="s">
        <v>837</v>
      </c>
      <c r="D134" s="35" t="s">
        <v>838</v>
      </c>
      <c r="E134" s="35" t="s">
        <v>826</v>
      </c>
      <c r="F134" s="35" t="s">
        <v>826</v>
      </c>
      <c r="G134" s="35" t="s">
        <v>826</v>
      </c>
      <c r="H134" s="35" t="s">
        <v>419</v>
      </c>
      <c r="I134" s="35" t="s">
        <v>131</v>
      </c>
      <c r="J134" s="35" t="s">
        <v>342</v>
      </c>
      <c r="K134" s="35" t="s">
        <v>53</v>
      </c>
      <c r="L134" s="35" t="s">
        <v>54</v>
      </c>
      <c r="M134" s="35" t="s">
        <v>136</v>
      </c>
      <c r="N134" s="35" t="s">
        <v>46</v>
      </c>
      <c r="O134" s="35" t="s">
        <v>139</v>
      </c>
      <c r="P134" s="35" t="s">
        <v>47</v>
      </c>
      <c r="Q134" s="35" t="s">
        <v>48</v>
      </c>
      <c r="R134" s="35" t="s">
        <v>46</v>
      </c>
      <c r="S134" s="36">
        <v>46051</v>
      </c>
      <c r="T134" s="36">
        <v>46058</v>
      </c>
      <c r="U134" s="35" t="s">
        <v>49</v>
      </c>
      <c r="V134" s="35" t="s">
        <v>348</v>
      </c>
      <c r="W134" s="35" t="s">
        <v>441</v>
      </c>
      <c r="X134" s="36">
        <v>46179</v>
      </c>
      <c r="Y134" s="35" t="s">
        <v>350</v>
      </c>
    </row>
    <row r="135" spans="1:25">
      <c r="A135" s="35" t="s">
        <v>839</v>
      </c>
      <c r="B135" s="35" t="s">
        <v>391</v>
      </c>
      <c r="C135" s="35" t="s">
        <v>840</v>
      </c>
      <c r="D135" s="35" t="s">
        <v>841</v>
      </c>
      <c r="E135" s="35" t="s">
        <v>98</v>
      </c>
      <c r="F135" s="35" t="s">
        <v>98</v>
      </c>
      <c r="G135" s="35" t="s">
        <v>98</v>
      </c>
      <c r="H135" s="35" t="s">
        <v>727</v>
      </c>
      <c r="I135" s="35" t="s">
        <v>51</v>
      </c>
      <c r="J135" s="35" t="s">
        <v>52</v>
      </c>
      <c r="K135" s="35" t="s">
        <v>53</v>
      </c>
      <c r="L135" s="35" t="s">
        <v>54</v>
      </c>
      <c r="M135" s="35" t="s">
        <v>136</v>
      </c>
      <c r="N135" s="35" t="s">
        <v>46</v>
      </c>
      <c r="O135" s="35" t="s">
        <v>139</v>
      </c>
      <c r="P135" s="35" t="s">
        <v>47</v>
      </c>
      <c r="Q135" s="35" t="s">
        <v>48</v>
      </c>
      <c r="R135" s="35" t="s">
        <v>46</v>
      </c>
      <c r="S135" s="36">
        <v>46147</v>
      </c>
      <c r="T135" s="36">
        <v>46156</v>
      </c>
      <c r="U135" s="35" t="s">
        <v>49</v>
      </c>
      <c r="V135" s="35" t="s">
        <v>348</v>
      </c>
      <c r="W135" s="35" t="s">
        <v>349</v>
      </c>
      <c r="X135" s="36">
        <v>46178</v>
      </c>
      <c r="Y135" s="35" t="s">
        <v>350</v>
      </c>
    </row>
    <row r="136" spans="1:25">
      <c r="A136" s="35" t="s">
        <v>842</v>
      </c>
      <c r="B136" s="35" t="s">
        <v>72</v>
      </c>
      <c r="C136" s="35" t="s">
        <v>523</v>
      </c>
      <c r="D136" s="35" t="s">
        <v>843</v>
      </c>
      <c r="E136" s="35" t="s">
        <v>456</v>
      </c>
      <c r="F136" s="35" t="s">
        <v>456</v>
      </c>
      <c r="G136" s="35" t="s">
        <v>456</v>
      </c>
      <c r="H136" s="35" t="s">
        <v>598</v>
      </c>
      <c r="I136" s="35" t="s">
        <v>132</v>
      </c>
      <c r="J136" s="35" t="s">
        <v>401</v>
      </c>
      <c r="K136" s="35" t="s">
        <v>53</v>
      </c>
      <c r="L136" s="35" t="s">
        <v>54</v>
      </c>
      <c r="M136" s="35" t="s">
        <v>136</v>
      </c>
      <c r="N136" s="35" t="s">
        <v>46</v>
      </c>
      <c r="O136" s="35" t="s">
        <v>139</v>
      </c>
      <c r="P136" s="35" t="s">
        <v>56</v>
      </c>
      <c r="Q136" s="35" t="s">
        <v>58</v>
      </c>
      <c r="R136" s="35" t="s">
        <v>56</v>
      </c>
      <c r="S136" s="36">
        <v>46047</v>
      </c>
      <c r="T136" s="36"/>
      <c r="U136" s="35" t="s">
        <v>56</v>
      </c>
      <c r="V136" s="35" t="s">
        <v>143</v>
      </c>
      <c r="W136" s="35" t="s">
        <v>330</v>
      </c>
      <c r="X136" s="36">
        <v>46182</v>
      </c>
      <c r="Y136" s="35" t="s">
        <v>343</v>
      </c>
    </row>
    <row r="137" spans="1:25">
      <c r="A137" s="35" t="s">
        <v>844</v>
      </c>
      <c r="B137" s="35" t="s">
        <v>471</v>
      </c>
      <c r="C137" s="35" t="s">
        <v>845</v>
      </c>
      <c r="D137" s="35" t="s">
        <v>846</v>
      </c>
      <c r="E137" s="35" t="s">
        <v>102</v>
      </c>
      <c r="F137" s="35" t="s">
        <v>102</v>
      </c>
      <c r="G137" s="35" t="s">
        <v>846</v>
      </c>
      <c r="H137" s="35" t="s">
        <v>847</v>
      </c>
      <c r="I137" s="35" t="s">
        <v>346</v>
      </c>
      <c r="J137" s="35" t="s">
        <v>347</v>
      </c>
      <c r="K137" s="35" t="s">
        <v>53</v>
      </c>
      <c r="L137" s="35" t="s">
        <v>54</v>
      </c>
      <c r="M137" s="35" t="s">
        <v>136</v>
      </c>
      <c r="N137" s="35" t="s">
        <v>46</v>
      </c>
      <c r="O137" s="35" t="s">
        <v>139</v>
      </c>
      <c r="P137" s="35" t="s">
        <v>138</v>
      </c>
      <c r="Q137" s="35" t="s">
        <v>48</v>
      </c>
      <c r="R137" s="35" t="s">
        <v>140</v>
      </c>
      <c r="S137" s="36">
        <v>46143</v>
      </c>
      <c r="T137" s="36"/>
      <c r="U137" s="35" t="s">
        <v>141</v>
      </c>
      <c r="V137" s="35" t="s">
        <v>412</v>
      </c>
      <c r="W137" s="35" t="s">
        <v>330</v>
      </c>
      <c r="X137" s="36">
        <v>46180</v>
      </c>
      <c r="Y137" s="35" t="s">
        <v>413</v>
      </c>
    </row>
    <row r="138" spans="1:25">
      <c r="A138" s="35" t="s">
        <v>848</v>
      </c>
      <c r="B138" s="35" t="s">
        <v>16</v>
      </c>
      <c r="C138" s="35" t="s">
        <v>849</v>
      </c>
      <c r="D138" s="35" t="s">
        <v>850</v>
      </c>
      <c r="E138" s="35" t="s">
        <v>681</v>
      </c>
      <c r="F138" s="35" t="s">
        <v>681</v>
      </c>
      <c r="G138" s="35" t="s">
        <v>681</v>
      </c>
      <c r="H138" s="35" t="s">
        <v>363</v>
      </c>
      <c r="I138" s="35" t="s">
        <v>130</v>
      </c>
      <c r="J138" s="35" t="s">
        <v>393</v>
      </c>
      <c r="K138" s="35" t="s">
        <v>53</v>
      </c>
      <c r="L138" s="35" t="s">
        <v>54</v>
      </c>
      <c r="M138" s="35" t="s">
        <v>45</v>
      </c>
      <c r="N138" s="35" t="s">
        <v>46</v>
      </c>
      <c r="O138" s="35" t="s">
        <v>56</v>
      </c>
      <c r="P138" s="35" t="s">
        <v>56</v>
      </c>
      <c r="Q138" s="35" t="s">
        <v>48</v>
      </c>
      <c r="R138" s="35" t="s">
        <v>137</v>
      </c>
      <c r="S138" s="36">
        <v>46059</v>
      </c>
      <c r="T138" s="36"/>
      <c r="U138" s="35" t="s">
        <v>56</v>
      </c>
      <c r="V138" s="35" t="s">
        <v>148</v>
      </c>
      <c r="W138" s="35" t="s">
        <v>330</v>
      </c>
      <c r="X138" s="36">
        <v>46182</v>
      </c>
      <c r="Y138" s="35" t="s">
        <v>359</v>
      </c>
    </row>
    <row r="139" spans="1:25">
      <c r="A139" s="35" t="s">
        <v>851</v>
      </c>
      <c r="B139" s="35" t="s">
        <v>513</v>
      </c>
      <c r="C139" s="35" t="s">
        <v>852</v>
      </c>
      <c r="D139" s="35" t="s">
        <v>853</v>
      </c>
      <c r="E139" s="35" t="s">
        <v>826</v>
      </c>
      <c r="F139" s="35" t="s">
        <v>826</v>
      </c>
      <c r="G139" s="35" t="s">
        <v>826</v>
      </c>
      <c r="H139" s="35" t="s">
        <v>126</v>
      </c>
      <c r="I139" s="35" t="s">
        <v>43</v>
      </c>
      <c r="J139" s="35" t="s">
        <v>357</v>
      </c>
      <c r="K139" s="35" t="s">
        <v>44</v>
      </c>
      <c r="L139" s="35" t="s">
        <v>854</v>
      </c>
      <c r="M139" s="35" t="s">
        <v>136</v>
      </c>
      <c r="N139" s="35" t="s">
        <v>46</v>
      </c>
      <c r="O139" s="35" t="s">
        <v>139</v>
      </c>
      <c r="P139" s="35" t="s">
        <v>56</v>
      </c>
      <c r="Q139" s="35" t="s">
        <v>58</v>
      </c>
      <c r="R139" s="35" t="s">
        <v>56</v>
      </c>
      <c r="S139" s="36">
        <v>46123</v>
      </c>
      <c r="T139" s="36"/>
      <c r="U139" s="35" t="s">
        <v>56</v>
      </c>
      <c r="V139" s="35" t="s">
        <v>143</v>
      </c>
      <c r="W139" s="35" t="s">
        <v>441</v>
      </c>
      <c r="X139" s="36">
        <v>46179</v>
      </c>
      <c r="Y139" s="35" t="s">
        <v>343</v>
      </c>
    </row>
    <row r="140" spans="1:25">
      <c r="A140" s="35" t="s">
        <v>855</v>
      </c>
      <c r="B140" s="35" t="s">
        <v>60</v>
      </c>
      <c r="C140" s="35" t="s">
        <v>596</v>
      </c>
      <c r="D140" s="35" t="s">
        <v>856</v>
      </c>
      <c r="E140" s="35" t="s">
        <v>89</v>
      </c>
      <c r="F140" s="35" t="s">
        <v>89</v>
      </c>
      <c r="G140" s="35" t="s">
        <v>89</v>
      </c>
      <c r="H140" s="35" t="s">
        <v>457</v>
      </c>
      <c r="I140" s="35" t="s">
        <v>346</v>
      </c>
      <c r="J140" s="35" t="s">
        <v>347</v>
      </c>
      <c r="K140" s="35" t="s">
        <v>53</v>
      </c>
      <c r="L140" s="35" t="s">
        <v>54</v>
      </c>
      <c r="M140" s="35" t="s">
        <v>45</v>
      </c>
      <c r="N140" s="35" t="s">
        <v>46</v>
      </c>
      <c r="O140" s="35" t="s">
        <v>56</v>
      </c>
      <c r="P140" s="35" t="s">
        <v>56</v>
      </c>
      <c r="Q140" s="35" t="s">
        <v>48</v>
      </c>
      <c r="R140" s="35" t="s">
        <v>137</v>
      </c>
      <c r="S140" s="36">
        <v>46126</v>
      </c>
      <c r="T140" s="36"/>
      <c r="U140" s="35" t="s">
        <v>56</v>
      </c>
      <c r="V140" s="35" t="s">
        <v>148</v>
      </c>
      <c r="W140" s="35" t="s">
        <v>365</v>
      </c>
      <c r="X140" s="36">
        <v>46181</v>
      </c>
      <c r="Y140" s="35" t="s">
        <v>359</v>
      </c>
    </row>
    <row r="141" spans="1:25">
      <c r="A141" s="35" t="s">
        <v>857</v>
      </c>
      <c r="B141" s="35" t="s">
        <v>61</v>
      </c>
      <c r="C141" s="35" t="s">
        <v>858</v>
      </c>
      <c r="D141" s="35" t="s">
        <v>859</v>
      </c>
      <c r="E141" s="35" t="s">
        <v>94</v>
      </c>
      <c r="F141" s="35" t="s">
        <v>94</v>
      </c>
      <c r="G141" s="35" t="s">
        <v>94</v>
      </c>
      <c r="H141" s="35" t="s">
        <v>606</v>
      </c>
      <c r="I141" s="35" t="s">
        <v>129</v>
      </c>
      <c r="J141" s="35" t="s">
        <v>327</v>
      </c>
      <c r="K141" s="35" t="s">
        <v>44</v>
      </c>
      <c r="L141" s="35" t="s">
        <v>860</v>
      </c>
      <c r="M141" s="35" t="s">
        <v>45</v>
      </c>
      <c r="N141" s="35" t="s">
        <v>46</v>
      </c>
      <c r="O141" s="35" t="s">
        <v>138</v>
      </c>
      <c r="P141" s="35" t="s">
        <v>138</v>
      </c>
      <c r="Q141" s="35" t="s">
        <v>48</v>
      </c>
      <c r="R141" s="35" t="s">
        <v>140</v>
      </c>
      <c r="S141" s="36">
        <v>46082</v>
      </c>
      <c r="T141" s="36"/>
      <c r="U141" s="35" t="s">
        <v>141</v>
      </c>
      <c r="V141" s="35" t="s">
        <v>435</v>
      </c>
      <c r="W141" s="35" t="s">
        <v>349</v>
      </c>
      <c r="X141" s="36">
        <v>46186</v>
      </c>
      <c r="Y141" s="35" t="s">
        <v>436</v>
      </c>
    </row>
    <row r="142" spans="1:25">
      <c r="A142" s="35" t="s">
        <v>861</v>
      </c>
      <c r="B142" s="35" t="s">
        <v>391</v>
      </c>
      <c r="C142" s="35" t="s">
        <v>862</v>
      </c>
      <c r="D142" s="35" t="s">
        <v>863</v>
      </c>
      <c r="E142" s="35" t="s">
        <v>506</v>
      </c>
      <c r="F142" s="35" t="s">
        <v>506</v>
      </c>
      <c r="G142" s="35" t="s">
        <v>506</v>
      </c>
      <c r="H142" s="35" t="s">
        <v>124</v>
      </c>
      <c r="I142" s="35" t="s">
        <v>130</v>
      </c>
      <c r="J142" s="35" t="s">
        <v>393</v>
      </c>
      <c r="K142" s="35" t="s">
        <v>53</v>
      </c>
      <c r="L142" s="35" t="s">
        <v>54</v>
      </c>
      <c r="M142" s="35" t="s">
        <v>45</v>
      </c>
      <c r="N142" s="35" t="s">
        <v>46</v>
      </c>
      <c r="O142" s="35" t="s">
        <v>56</v>
      </c>
      <c r="P142" s="35" t="s">
        <v>56</v>
      </c>
      <c r="Q142" s="35" t="s">
        <v>48</v>
      </c>
      <c r="R142" s="35" t="s">
        <v>137</v>
      </c>
      <c r="S142" s="36">
        <v>46119</v>
      </c>
      <c r="T142" s="36"/>
      <c r="U142" s="35" t="s">
        <v>56</v>
      </c>
      <c r="V142" s="35" t="s">
        <v>148</v>
      </c>
      <c r="W142" s="35" t="s">
        <v>441</v>
      </c>
      <c r="X142" s="36">
        <v>46186</v>
      </c>
      <c r="Y142" s="35" t="s">
        <v>359</v>
      </c>
    </row>
    <row r="143" spans="1:25">
      <c r="A143" s="35" t="s">
        <v>864</v>
      </c>
      <c r="B143" s="35" t="s">
        <v>70</v>
      </c>
      <c r="C143" s="35" t="s">
        <v>865</v>
      </c>
      <c r="D143" s="35" t="s">
        <v>866</v>
      </c>
      <c r="E143" s="35" t="s">
        <v>550</v>
      </c>
      <c r="F143" s="35" t="s">
        <v>550</v>
      </c>
      <c r="G143" s="35" t="s">
        <v>550</v>
      </c>
      <c r="H143" s="35" t="s">
        <v>114</v>
      </c>
      <c r="I143" s="35" t="s">
        <v>131</v>
      </c>
      <c r="J143" s="35" t="s">
        <v>342</v>
      </c>
      <c r="K143" s="35" t="s">
        <v>53</v>
      </c>
      <c r="L143" s="35" t="s">
        <v>54</v>
      </c>
      <c r="M143" s="35" t="s">
        <v>136</v>
      </c>
      <c r="N143" s="35" t="s">
        <v>46</v>
      </c>
      <c r="O143" s="35" t="s">
        <v>139</v>
      </c>
      <c r="P143" s="35" t="s">
        <v>56</v>
      </c>
      <c r="Q143" s="35" t="s">
        <v>58</v>
      </c>
      <c r="R143" s="35" t="s">
        <v>56</v>
      </c>
      <c r="S143" s="36">
        <v>46051</v>
      </c>
      <c r="T143" s="36"/>
      <c r="U143" s="35" t="s">
        <v>56</v>
      </c>
      <c r="V143" s="35" t="s">
        <v>143</v>
      </c>
      <c r="W143" s="35" t="s">
        <v>338</v>
      </c>
      <c r="X143" s="36">
        <v>46181</v>
      </c>
      <c r="Y143" s="35" t="s">
        <v>343</v>
      </c>
    </row>
    <row r="144" spans="1:25">
      <c r="A144" s="35" t="s">
        <v>867</v>
      </c>
      <c r="B144" s="35" t="s">
        <v>66</v>
      </c>
      <c r="C144" s="35" t="s">
        <v>868</v>
      </c>
      <c r="D144" s="35" t="s">
        <v>869</v>
      </c>
      <c r="E144" s="35" t="s">
        <v>84</v>
      </c>
      <c r="F144" s="35" t="s">
        <v>84</v>
      </c>
      <c r="G144" s="35" t="s">
        <v>84</v>
      </c>
      <c r="H144" s="35" t="s">
        <v>696</v>
      </c>
      <c r="I144" s="35" t="s">
        <v>43</v>
      </c>
      <c r="J144" s="35" t="s">
        <v>357</v>
      </c>
      <c r="K144" s="35" t="s">
        <v>44</v>
      </c>
      <c r="L144" s="35" t="s">
        <v>870</v>
      </c>
      <c r="M144" s="35" t="s">
        <v>136</v>
      </c>
      <c r="N144" s="35" t="s">
        <v>46</v>
      </c>
      <c r="O144" s="35" t="s">
        <v>139</v>
      </c>
      <c r="P144" s="35" t="s">
        <v>56</v>
      </c>
      <c r="Q144" s="35" t="s">
        <v>58</v>
      </c>
      <c r="R144" s="35" t="s">
        <v>56</v>
      </c>
      <c r="S144" s="36">
        <v>46060</v>
      </c>
      <c r="T144" s="36"/>
      <c r="U144" s="35" t="s">
        <v>56</v>
      </c>
      <c r="V144" s="35" t="s">
        <v>143</v>
      </c>
      <c r="W144" s="35" t="s">
        <v>338</v>
      </c>
      <c r="X144" s="36">
        <v>46185</v>
      </c>
      <c r="Y144" s="35" t="s">
        <v>343</v>
      </c>
    </row>
    <row r="145" spans="1:25">
      <c r="A145" s="35" t="s">
        <v>871</v>
      </c>
      <c r="B145" s="35" t="s">
        <v>69</v>
      </c>
      <c r="C145" s="35" t="s">
        <v>872</v>
      </c>
      <c r="D145" s="35" t="s">
        <v>873</v>
      </c>
      <c r="E145" s="35" t="s">
        <v>874</v>
      </c>
      <c r="F145" s="35" t="s">
        <v>874</v>
      </c>
      <c r="G145" s="35" t="s">
        <v>874</v>
      </c>
      <c r="H145" s="35" t="s">
        <v>696</v>
      </c>
      <c r="I145" s="35" t="s">
        <v>132</v>
      </c>
      <c r="J145" s="35" t="s">
        <v>401</v>
      </c>
      <c r="K145" s="35" t="s">
        <v>53</v>
      </c>
      <c r="L145" s="35" t="s">
        <v>54</v>
      </c>
      <c r="M145" s="35" t="s">
        <v>45</v>
      </c>
      <c r="N145" s="35" t="s">
        <v>46</v>
      </c>
      <c r="O145" s="35" t="s">
        <v>47</v>
      </c>
      <c r="P145" s="35" t="s">
        <v>47</v>
      </c>
      <c r="Q145" s="35" t="s">
        <v>48</v>
      </c>
      <c r="R145" s="35" t="s">
        <v>46</v>
      </c>
      <c r="S145" s="36">
        <v>46085</v>
      </c>
      <c r="T145" s="36">
        <v>46097</v>
      </c>
      <c r="U145" s="35" t="s">
        <v>49</v>
      </c>
      <c r="V145" s="35" t="s">
        <v>348</v>
      </c>
      <c r="W145" s="35" t="s">
        <v>349</v>
      </c>
      <c r="X145" s="36">
        <v>46185</v>
      </c>
      <c r="Y145" s="35" t="s">
        <v>350</v>
      </c>
    </row>
    <row r="146" spans="1:25">
      <c r="A146" s="35" t="s">
        <v>875</v>
      </c>
      <c r="B146" s="35" t="s">
        <v>62</v>
      </c>
      <c r="C146" s="35" t="s">
        <v>876</v>
      </c>
      <c r="D146" s="35" t="s">
        <v>877</v>
      </c>
      <c r="E146" s="35" t="s">
        <v>88</v>
      </c>
      <c r="F146" s="35" t="s">
        <v>88</v>
      </c>
      <c r="G146" s="35" t="s">
        <v>88</v>
      </c>
      <c r="H146" s="35" t="s">
        <v>110</v>
      </c>
      <c r="I146" s="35" t="s">
        <v>132</v>
      </c>
      <c r="J146" s="35" t="s">
        <v>401</v>
      </c>
      <c r="K146" s="35" t="s">
        <v>53</v>
      </c>
      <c r="L146" s="35" t="s">
        <v>54</v>
      </c>
      <c r="M146" s="35" t="s">
        <v>45</v>
      </c>
      <c r="N146" s="35" t="s">
        <v>46</v>
      </c>
      <c r="O146" s="35" t="s">
        <v>47</v>
      </c>
      <c r="P146" s="35" t="s">
        <v>56</v>
      </c>
      <c r="Q146" s="35" t="s">
        <v>58</v>
      </c>
      <c r="R146" s="35" t="s">
        <v>56</v>
      </c>
      <c r="S146" s="36">
        <v>46058</v>
      </c>
      <c r="T146" s="36"/>
      <c r="U146" s="35" t="s">
        <v>56</v>
      </c>
      <c r="V146" s="35" t="s">
        <v>143</v>
      </c>
      <c r="W146" s="35" t="s">
        <v>365</v>
      </c>
      <c r="X146" s="36">
        <v>46184</v>
      </c>
      <c r="Y146" s="35" t="s">
        <v>343</v>
      </c>
    </row>
    <row r="147" spans="1:25">
      <c r="A147" s="35" t="s">
        <v>878</v>
      </c>
      <c r="B147" s="35" t="s">
        <v>64</v>
      </c>
      <c r="C147" s="35" t="s">
        <v>879</v>
      </c>
      <c r="D147" s="35" t="s">
        <v>880</v>
      </c>
      <c r="E147" s="35" t="s">
        <v>826</v>
      </c>
      <c r="F147" s="35" t="s">
        <v>826</v>
      </c>
      <c r="G147" s="35" t="s">
        <v>826</v>
      </c>
      <c r="H147" s="35" t="s">
        <v>428</v>
      </c>
      <c r="I147" s="35" t="s">
        <v>346</v>
      </c>
      <c r="J147" s="35" t="s">
        <v>347</v>
      </c>
      <c r="K147" s="35" t="s">
        <v>53</v>
      </c>
      <c r="L147" s="35" t="s">
        <v>54</v>
      </c>
      <c r="M147" s="35" t="s">
        <v>45</v>
      </c>
      <c r="N147" s="35" t="s">
        <v>46</v>
      </c>
      <c r="O147" s="35" t="s">
        <v>47</v>
      </c>
      <c r="P147" s="35" t="s">
        <v>56</v>
      </c>
      <c r="Q147" s="35" t="s">
        <v>58</v>
      </c>
      <c r="R147" s="35" t="s">
        <v>56</v>
      </c>
      <c r="S147" s="36">
        <v>46109</v>
      </c>
      <c r="T147" s="36"/>
      <c r="U147" s="35" t="s">
        <v>56</v>
      </c>
      <c r="V147" s="35" t="s">
        <v>143</v>
      </c>
      <c r="W147" s="35" t="s">
        <v>349</v>
      </c>
      <c r="X147" s="36">
        <v>46182</v>
      </c>
      <c r="Y147" s="35" t="s">
        <v>343</v>
      </c>
    </row>
    <row r="148" spans="1:25">
      <c r="A148" s="35" t="s">
        <v>881</v>
      </c>
      <c r="B148" s="35" t="s">
        <v>77</v>
      </c>
      <c r="C148" s="35" t="s">
        <v>882</v>
      </c>
      <c r="D148" s="35" t="s">
        <v>883</v>
      </c>
      <c r="E148" s="35" t="s">
        <v>353</v>
      </c>
      <c r="F148" s="35" t="s">
        <v>353</v>
      </c>
      <c r="G148" s="35" t="s">
        <v>353</v>
      </c>
      <c r="H148" s="35" t="s">
        <v>124</v>
      </c>
      <c r="I148" s="35" t="s">
        <v>131</v>
      </c>
      <c r="J148" s="35" t="s">
        <v>342</v>
      </c>
      <c r="K148" s="35" t="s">
        <v>53</v>
      </c>
      <c r="L148" s="35" t="s">
        <v>54</v>
      </c>
      <c r="M148" s="35" t="s">
        <v>136</v>
      </c>
      <c r="N148" s="35" t="s">
        <v>46</v>
      </c>
      <c r="O148" s="35" t="s">
        <v>139</v>
      </c>
      <c r="P148" s="35" t="s">
        <v>56</v>
      </c>
      <c r="Q148" s="35" t="s">
        <v>58</v>
      </c>
      <c r="R148" s="35" t="s">
        <v>56</v>
      </c>
      <c r="S148" s="36">
        <v>46135</v>
      </c>
      <c r="T148" s="36"/>
      <c r="U148" s="35" t="s">
        <v>56</v>
      </c>
      <c r="V148" s="35" t="s">
        <v>143</v>
      </c>
      <c r="W148" s="35" t="s">
        <v>441</v>
      </c>
      <c r="X148" s="36">
        <v>46180</v>
      </c>
      <c r="Y148" s="35" t="s">
        <v>343</v>
      </c>
    </row>
    <row r="149" spans="1:25">
      <c r="A149" s="35" t="s">
        <v>884</v>
      </c>
      <c r="B149" s="35" t="s">
        <v>67</v>
      </c>
      <c r="C149" s="35" t="s">
        <v>885</v>
      </c>
      <c r="D149" s="35" t="s">
        <v>886</v>
      </c>
      <c r="E149" s="35" t="s">
        <v>456</v>
      </c>
      <c r="F149" s="35" t="s">
        <v>456</v>
      </c>
      <c r="G149" s="35" t="s">
        <v>456</v>
      </c>
      <c r="H149" s="35" t="s">
        <v>115</v>
      </c>
      <c r="I149" s="35" t="s">
        <v>129</v>
      </c>
      <c r="J149" s="35" t="s">
        <v>134</v>
      </c>
      <c r="K149" s="35" t="s">
        <v>44</v>
      </c>
      <c r="L149" s="35" t="s">
        <v>887</v>
      </c>
      <c r="M149" s="35" t="s">
        <v>45</v>
      </c>
      <c r="N149" s="35" t="s">
        <v>46</v>
      </c>
      <c r="O149" s="35" t="s">
        <v>47</v>
      </c>
      <c r="P149" s="35" t="s">
        <v>56</v>
      </c>
      <c r="Q149" s="35" t="s">
        <v>58</v>
      </c>
      <c r="R149" s="35" t="s">
        <v>56</v>
      </c>
      <c r="S149" s="36">
        <v>46137</v>
      </c>
      <c r="T149" s="36"/>
      <c r="U149" s="35" t="s">
        <v>56</v>
      </c>
      <c r="V149" s="35" t="s">
        <v>143</v>
      </c>
      <c r="W149" s="35" t="s">
        <v>338</v>
      </c>
      <c r="X149" s="36">
        <v>46178</v>
      </c>
      <c r="Y149" s="35" t="s">
        <v>343</v>
      </c>
    </row>
    <row r="150" spans="1:25">
      <c r="A150" s="35" t="s">
        <v>888</v>
      </c>
      <c r="B150" s="35" t="s">
        <v>66</v>
      </c>
      <c r="C150" s="35" t="s">
        <v>889</v>
      </c>
      <c r="D150" s="35" t="s">
        <v>890</v>
      </c>
      <c r="E150" s="35" t="s">
        <v>712</v>
      </c>
      <c r="F150" s="35" t="s">
        <v>712</v>
      </c>
      <c r="G150" s="35" t="s">
        <v>712</v>
      </c>
      <c r="H150" s="35" t="s">
        <v>356</v>
      </c>
      <c r="I150" s="35" t="s">
        <v>132</v>
      </c>
      <c r="J150" s="35" t="s">
        <v>401</v>
      </c>
      <c r="K150" s="35" t="s">
        <v>53</v>
      </c>
      <c r="L150" s="35" t="s">
        <v>54</v>
      </c>
      <c r="M150" s="35" t="s">
        <v>136</v>
      </c>
      <c r="N150" s="35" t="s">
        <v>46</v>
      </c>
      <c r="O150" s="35" t="s">
        <v>139</v>
      </c>
      <c r="P150" s="35" t="s">
        <v>47</v>
      </c>
      <c r="Q150" s="35" t="s">
        <v>48</v>
      </c>
      <c r="R150" s="35" t="s">
        <v>46</v>
      </c>
      <c r="S150" s="36">
        <v>46171</v>
      </c>
      <c r="T150" s="36">
        <v>46173</v>
      </c>
      <c r="U150" s="35" t="s">
        <v>49</v>
      </c>
      <c r="V150" s="35" t="s">
        <v>348</v>
      </c>
      <c r="W150" s="35" t="s">
        <v>349</v>
      </c>
      <c r="X150" s="36">
        <v>46186</v>
      </c>
      <c r="Y150" s="35" t="s">
        <v>350</v>
      </c>
    </row>
    <row r="151" spans="1:25">
      <c r="A151" s="35" t="s">
        <v>891</v>
      </c>
      <c r="B151" s="35" t="s">
        <v>16</v>
      </c>
      <c r="C151" s="35" t="s">
        <v>892</v>
      </c>
      <c r="D151" s="35" t="s">
        <v>893</v>
      </c>
      <c r="E151" s="35" t="s">
        <v>93</v>
      </c>
      <c r="F151" s="35" t="s">
        <v>93</v>
      </c>
      <c r="G151" s="35" t="s">
        <v>93</v>
      </c>
      <c r="H151" s="35" t="s">
        <v>114</v>
      </c>
      <c r="I151" s="35" t="s">
        <v>129</v>
      </c>
      <c r="J151" s="35" t="s">
        <v>327</v>
      </c>
      <c r="K151" s="35" t="s">
        <v>44</v>
      </c>
      <c r="L151" s="35" t="s">
        <v>894</v>
      </c>
      <c r="M151" s="35" t="s">
        <v>136</v>
      </c>
      <c r="N151" s="35" t="s">
        <v>46</v>
      </c>
      <c r="O151" s="35" t="s">
        <v>139</v>
      </c>
      <c r="P151" s="35" t="s">
        <v>138</v>
      </c>
      <c r="Q151" s="35" t="s">
        <v>48</v>
      </c>
      <c r="R151" s="35" t="s">
        <v>140</v>
      </c>
      <c r="S151" s="36">
        <v>46094</v>
      </c>
      <c r="T151" s="36"/>
      <c r="U151" s="35" t="s">
        <v>141</v>
      </c>
      <c r="V151" s="35" t="s">
        <v>435</v>
      </c>
      <c r="W151" s="35" t="s">
        <v>365</v>
      </c>
      <c r="X151" s="36">
        <v>46178</v>
      </c>
      <c r="Y151" s="35" t="s">
        <v>436</v>
      </c>
    </row>
    <row r="152" spans="1:25">
      <c r="A152" s="35" t="s">
        <v>895</v>
      </c>
      <c r="B152" s="35" t="s">
        <v>66</v>
      </c>
      <c r="C152" s="35" t="s">
        <v>896</v>
      </c>
      <c r="D152" s="35" t="s">
        <v>897</v>
      </c>
      <c r="E152" s="35" t="s">
        <v>405</v>
      </c>
      <c r="F152" s="35" t="s">
        <v>405</v>
      </c>
      <c r="G152" s="35" t="s">
        <v>898</v>
      </c>
      <c r="H152" s="35" t="s">
        <v>899</v>
      </c>
      <c r="I152" s="35" t="s">
        <v>132</v>
      </c>
      <c r="J152" s="35" t="s">
        <v>401</v>
      </c>
      <c r="K152" s="35" t="s">
        <v>53</v>
      </c>
      <c r="L152" s="35" t="s">
        <v>54</v>
      </c>
      <c r="M152" s="35" t="s">
        <v>45</v>
      </c>
      <c r="N152" s="35" t="s">
        <v>46</v>
      </c>
      <c r="O152" s="35" t="s">
        <v>138</v>
      </c>
      <c r="P152" s="35" t="s">
        <v>138</v>
      </c>
      <c r="Q152" s="35" t="s">
        <v>48</v>
      </c>
      <c r="R152" s="35" t="s">
        <v>140</v>
      </c>
      <c r="S152" s="36">
        <v>46123</v>
      </c>
      <c r="T152" s="36"/>
      <c r="U152" s="35" t="s">
        <v>141</v>
      </c>
      <c r="V152" s="35" t="s">
        <v>144</v>
      </c>
      <c r="W152" s="35" t="s">
        <v>365</v>
      </c>
      <c r="X152" s="36">
        <v>46185</v>
      </c>
      <c r="Y152" s="35" t="s">
        <v>389</v>
      </c>
    </row>
    <row r="153" spans="1:25">
      <c r="A153" s="35" t="s">
        <v>900</v>
      </c>
      <c r="B153" s="35" t="s">
        <v>62</v>
      </c>
      <c r="C153" s="35" t="s">
        <v>901</v>
      </c>
      <c r="D153" s="35" t="s">
        <v>902</v>
      </c>
      <c r="E153" s="35" t="s">
        <v>409</v>
      </c>
      <c r="F153" s="35" t="s">
        <v>409</v>
      </c>
      <c r="G153" s="35" t="s">
        <v>409</v>
      </c>
      <c r="H153" s="35" t="s">
        <v>356</v>
      </c>
      <c r="I153" s="35" t="s">
        <v>132</v>
      </c>
      <c r="J153" s="35" t="s">
        <v>401</v>
      </c>
      <c r="K153" s="35" t="s">
        <v>53</v>
      </c>
      <c r="L153" s="35" t="s">
        <v>54</v>
      </c>
      <c r="M153" s="35" t="s">
        <v>45</v>
      </c>
      <c r="N153" s="35" t="s">
        <v>46</v>
      </c>
      <c r="O153" s="35" t="s">
        <v>56</v>
      </c>
      <c r="P153" s="35" t="s">
        <v>56</v>
      </c>
      <c r="Q153" s="35" t="s">
        <v>48</v>
      </c>
      <c r="R153" s="35" t="s">
        <v>137</v>
      </c>
      <c r="S153" s="36">
        <v>46149</v>
      </c>
      <c r="T153" s="36"/>
      <c r="U153" s="35" t="s">
        <v>56</v>
      </c>
      <c r="V153" s="35" t="s">
        <v>148</v>
      </c>
      <c r="W153" s="35" t="s">
        <v>349</v>
      </c>
      <c r="X153" s="36">
        <v>46176</v>
      </c>
      <c r="Y153" s="35" t="s">
        <v>359</v>
      </c>
    </row>
    <row r="154" spans="1:25">
      <c r="A154" s="35" t="s">
        <v>903</v>
      </c>
      <c r="B154" s="35" t="s">
        <v>77</v>
      </c>
      <c r="C154" s="35" t="s">
        <v>904</v>
      </c>
      <c r="D154" s="35" t="s">
        <v>905</v>
      </c>
      <c r="E154" s="35" t="s">
        <v>681</v>
      </c>
      <c r="F154" s="35" t="s">
        <v>681</v>
      </c>
      <c r="G154" s="35" t="s">
        <v>681</v>
      </c>
      <c r="H154" s="35" t="s">
        <v>649</v>
      </c>
      <c r="I154" s="35" t="s">
        <v>51</v>
      </c>
      <c r="J154" s="35" t="s">
        <v>611</v>
      </c>
      <c r="K154" s="35" t="s">
        <v>53</v>
      </c>
      <c r="L154" s="35" t="s">
        <v>54</v>
      </c>
      <c r="M154" s="35" t="s">
        <v>45</v>
      </c>
      <c r="N154" s="35" t="s">
        <v>46</v>
      </c>
      <c r="O154" s="35" t="s">
        <v>138</v>
      </c>
      <c r="P154" s="35" t="s">
        <v>138</v>
      </c>
      <c r="Q154" s="35" t="s">
        <v>48</v>
      </c>
      <c r="R154" s="35" t="s">
        <v>140</v>
      </c>
      <c r="S154" s="36">
        <v>46173</v>
      </c>
      <c r="T154" s="36"/>
      <c r="U154" s="35" t="s">
        <v>141</v>
      </c>
      <c r="V154" s="35" t="s">
        <v>329</v>
      </c>
      <c r="W154" s="35" t="s">
        <v>441</v>
      </c>
      <c r="X154" s="36">
        <v>46179</v>
      </c>
      <c r="Y154" s="35" t="s">
        <v>331</v>
      </c>
    </row>
    <row r="155" spans="1:25">
      <c r="A155" s="35" t="s">
        <v>906</v>
      </c>
      <c r="B155" s="35" t="s">
        <v>375</v>
      </c>
      <c r="C155" s="35" t="s">
        <v>907</v>
      </c>
      <c r="D155" s="35" t="s">
        <v>908</v>
      </c>
      <c r="E155" s="35" t="s">
        <v>478</v>
      </c>
      <c r="F155" s="35" t="s">
        <v>478</v>
      </c>
      <c r="G155" s="35" t="s">
        <v>908</v>
      </c>
      <c r="H155" s="35" t="s">
        <v>555</v>
      </c>
      <c r="I155" s="35" t="s">
        <v>346</v>
      </c>
      <c r="J155" s="35" t="s">
        <v>347</v>
      </c>
      <c r="K155" s="35" t="s">
        <v>53</v>
      </c>
      <c r="L155" s="35" t="s">
        <v>54</v>
      </c>
      <c r="M155" s="35" t="s">
        <v>45</v>
      </c>
      <c r="N155" s="35" t="s">
        <v>46</v>
      </c>
      <c r="O155" s="35" t="s">
        <v>138</v>
      </c>
      <c r="P155" s="35" t="s">
        <v>138</v>
      </c>
      <c r="Q155" s="35" t="s">
        <v>48</v>
      </c>
      <c r="R155" s="35" t="s">
        <v>140</v>
      </c>
      <c r="S155" s="36">
        <v>46109</v>
      </c>
      <c r="T155" s="36"/>
      <c r="U155" s="35" t="s">
        <v>141</v>
      </c>
      <c r="V155" s="35" t="s">
        <v>412</v>
      </c>
      <c r="W155" s="35" t="s">
        <v>338</v>
      </c>
      <c r="X155" s="36">
        <v>46182</v>
      </c>
      <c r="Y155" s="35" t="s">
        <v>413</v>
      </c>
    </row>
    <row r="156" spans="1:25">
      <c r="A156" s="35" t="s">
        <v>909</v>
      </c>
      <c r="B156" s="35" t="s">
        <v>361</v>
      </c>
      <c r="C156" s="35" t="s">
        <v>910</v>
      </c>
      <c r="D156" s="35" t="s">
        <v>911</v>
      </c>
      <c r="E156" s="35" t="s">
        <v>334</v>
      </c>
      <c r="F156" s="35" t="s">
        <v>334</v>
      </c>
      <c r="G156" s="35" t="s">
        <v>334</v>
      </c>
      <c r="H156" s="35" t="s">
        <v>120</v>
      </c>
      <c r="I156" s="35" t="s">
        <v>129</v>
      </c>
      <c r="J156" s="35" t="s">
        <v>134</v>
      </c>
      <c r="K156" s="35" t="s">
        <v>44</v>
      </c>
      <c r="L156" s="35" t="s">
        <v>912</v>
      </c>
      <c r="M156" s="35" t="s">
        <v>45</v>
      </c>
      <c r="N156" s="35" t="s">
        <v>46</v>
      </c>
      <c r="O156" s="35" t="s">
        <v>47</v>
      </c>
      <c r="P156" s="35" t="s">
        <v>47</v>
      </c>
      <c r="Q156" s="35" t="s">
        <v>48</v>
      </c>
      <c r="R156" s="35" t="s">
        <v>46</v>
      </c>
      <c r="S156" s="36">
        <v>46160</v>
      </c>
      <c r="T156" s="36">
        <v>46174</v>
      </c>
      <c r="U156" s="35" t="s">
        <v>49</v>
      </c>
      <c r="V156" s="35" t="s">
        <v>348</v>
      </c>
      <c r="W156" s="35" t="s">
        <v>330</v>
      </c>
      <c r="X156" s="36">
        <v>46184</v>
      </c>
      <c r="Y156" s="35" t="s">
        <v>350</v>
      </c>
    </row>
    <row r="157" spans="1:25">
      <c r="A157" s="35" t="s">
        <v>913</v>
      </c>
      <c r="B157" s="35" t="s">
        <v>66</v>
      </c>
      <c r="C157" s="35" t="s">
        <v>914</v>
      </c>
      <c r="D157" s="35" t="s">
        <v>915</v>
      </c>
      <c r="E157" s="35" t="s">
        <v>92</v>
      </c>
      <c r="F157" s="35" t="s">
        <v>92</v>
      </c>
      <c r="G157" s="35" t="s">
        <v>915</v>
      </c>
      <c r="H157" s="35" t="s">
        <v>410</v>
      </c>
      <c r="I157" s="35" t="s">
        <v>51</v>
      </c>
      <c r="J157" s="35" t="s">
        <v>52</v>
      </c>
      <c r="K157" s="35" t="s">
        <v>53</v>
      </c>
      <c r="L157" s="35" t="s">
        <v>54</v>
      </c>
      <c r="M157" s="35" t="s">
        <v>136</v>
      </c>
      <c r="N157" s="35" t="s">
        <v>46</v>
      </c>
      <c r="O157" s="35" t="s">
        <v>139</v>
      </c>
      <c r="P157" s="35" t="s">
        <v>138</v>
      </c>
      <c r="Q157" s="35" t="s">
        <v>48</v>
      </c>
      <c r="R157" s="35" t="s">
        <v>140</v>
      </c>
      <c r="S157" s="36">
        <v>46148</v>
      </c>
      <c r="T157" s="36"/>
      <c r="U157" s="35" t="s">
        <v>141</v>
      </c>
      <c r="V157" s="35" t="s">
        <v>412</v>
      </c>
      <c r="W157" s="35" t="s">
        <v>365</v>
      </c>
      <c r="X157" s="36">
        <v>46177</v>
      </c>
      <c r="Y157" s="35" t="s">
        <v>413</v>
      </c>
    </row>
    <row r="158" spans="1:25">
      <c r="A158" s="35" t="s">
        <v>916</v>
      </c>
      <c r="B158" s="35" t="s">
        <v>375</v>
      </c>
      <c r="C158" s="35" t="s">
        <v>917</v>
      </c>
      <c r="D158" s="35" t="s">
        <v>918</v>
      </c>
      <c r="E158" s="35" t="s">
        <v>83</v>
      </c>
      <c r="F158" s="35" t="s">
        <v>83</v>
      </c>
      <c r="G158" s="35" t="s">
        <v>918</v>
      </c>
      <c r="H158" s="35" t="s">
        <v>593</v>
      </c>
      <c r="I158" s="35" t="s">
        <v>130</v>
      </c>
      <c r="J158" s="35" t="s">
        <v>393</v>
      </c>
      <c r="K158" s="35" t="s">
        <v>53</v>
      </c>
      <c r="L158" s="35" t="s">
        <v>54</v>
      </c>
      <c r="M158" s="35" t="s">
        <v>55</v>
      </c>
      <c r="N158" s="35" t="s">
        <v>46</v>
      </c>
      <c r="O158" s="35" t="s">
        <v>138</v>
      </c>
      <c r="P158" s="35" t="s">
        <v>139</v>
      </c>
      <c r="Q158" s="35" t="s">
        <v>48</v>
      </c>
      <c r="R158" s="35" t="s">
        <v>140</v>
      </c>
      <c r="S158" s="36">
        <v>46097</v>
      </c>
      <c r="T158" s="36"/>
      <c r="U158" s="35" t="s">
        <v>141</v>
      </c>
      <c r="V158" s="35" t="s">
        <v>412</v>
      </c>
      <c r="W158" s="35" t="s">
        <v>330</v>
      </c>
      <c r="X158" s="36">
        <v>46182</v>
      </c>
      <c r="Y158" s="35" t="s">
        <v>413</v>
      </c>
    </row>
    <row r="159" spans="1:25">
      <c r="A159" s="35" t="s">
        <v>919</v>
      </c>
      <c r="B159" s="35" t="s">
        <v>64</v>
      </c>
      <c r="C159" s="35" t="s">
        <v>920</v>
      </c>
      <c r="D159" s="35" t="s">
        <v>921</v>
      </c>
      <c r="E159" s="35" t="s">
        <v>88</v>
      </c>
      <c r="F159" s="35" t="s">
        <v>88</v>
      </c>
      <c r="G159" s="35" t="s">
        <v>88</v>
      </c>
      <c r="H159" s="35" t="s">
        <v>465</v>
      </c>
      <c r="I159" s="35" t="s">
        <v>132</v>
      </c>
      <c r="J159" s="35" t="s">
        <v>401</v>
      </c>
      <c r="K159" s="35" t="s">
        <v>53</v>
      </c>
      <c r="L159" s="35" t="s">
        <v>54</v>
      </c>
      <c r="M159" s="35" t="s">
        <v>45</v>
      </c>
      <c r="N159" s="35" t="s">
        <v>46</v>
      </c>
      <c r="O159" s="35" t="s">
        <v>47</v>
      </c>
      <c r="P159" s="35" t="s">
        <v>56</v>
      </c>
      <c r="Q159" s="35" t="s">
        <v>58</v>
      </c>
      <c r="R159" s="35" t="s">
        <v>56</v>
      </c>
      <c r="S159" s="36">
        <v>46074</v>
      </c>
      <c r="T159" s="36"/>
      <c r="U159" s="35" t="s">
        <v>56</v>
      </c>
      <c r="V159" s="35" t="s">
        <v>143</v>
      </c>
      <c r="W159" s="35" t="s">
        <v>330</v>
      </c>
      <c r="X159" s="36">
        <v>46178</v>
      </c>
      <c r="Y159" s="35" t="s">
        <v>343</v>
      </c>
    </row>
    <row r="160" spans="1:25">
      <c r="A160" s="35" t="s">
        <v>922</v>
      </c>
      <c r="B160" s="35" t="s">
        <v>471</v>
      </c>
      <c r="C160" s="35" t="s">
        <v>923</v>
      </c>
      <c r="D160" s="35" t="s">
        <v>924</v>
      </c>
      <c r="E160" s="35" t="s">
        <v>90</v>
      </c>
      <c r="F160" s="35" t="s">
        <v>90</v>
      </c>
      <c r="G160" s="35" t="s">
        <v>924</v>
      </c>
      <c r="H160" s="35" t="s">
        <v>583</v>
      </c>
      <c r="I160" s="35" t="s">
        <v>132</v>
      </c>
      <c r="J160" s="35" t="s">
        <v>401</v>
      </c>
      <c r="K160" s="35" t="s">
        <v>53</v>
      </c>
      <c r="L160" s="35" t="s">
        <v>54</v>
      </c>
      <c r="M160" s="35" t="s">
        <v>45</v>
      </c>
      <c r="N160" s="35" t="s">
        <v>46</v>
      </c>
      <c r="O160" s="35" t="s">
        <v>138</v>
      </c>
      <c r="P160" s="35" t="s">
        <v>138</v>
      </c>
      <c r="Q160" s="35" t="s">
        <v>48</v>
      </c>
      <c r="R160" s="35" t="s">
        <v>140</v>
      </c>
      <c r="S160" s="36">
        <v>46038</v>
      </c>
      <c r="T160" s="36"/>
      <c r="U160" s="35" t="s">
        <v>141</v>
      </c>
      <c r="V160" s="35" t="s">
        <v>412</v>
      </c>
      <c r="W160" s="35" t="s">
        <v>330</v>
      </c>
      <c r="X160" s="36">
        <v>46177</v>
      </c>
      <c r="Y160" s="35" t="s">
        <v>413</v>
      </c>
    </row>
    <row r="161" spans="1:25">
      <c r="A161" s="35" t="s">
        <v>925</v>
      </c>
      <c r="B161" s="35" t="s">
        <v>63</v>
      </c>
      <c r="C161" s="35" t="s">
        <v>926</v>
      </c>
      <c r="D161" s="35" t="s">
        <v>927</v>
      </c>
      <c r="E161" s="35" t="s">
        <v>334</v>
      </c>
      <c r="F161" s="35" t="s">
        <v>334</v>
      </c>
      <c r="G161" s="35" t="s">
        <v>334</v>
      </c>
      <c r="H161" s="35" t="s">
        <v>457</v>
      </c>
      <c r="I161" s="35" t="s">
        <v>346</v>
      </c>
      <c r="J161" s="35" t="s">
        <v>594</v>
      </c>
      <c r="K161" s="35" t="s">
        <v>53</v>
      </c>
      <c r="L161" s="35" t="s">
        <v>54</v>
      </c>
      <c r="M161" s="35" t="s">
        <v>136</v>
      </c>
      <c r="N161" s="35" t="s">
        <v>46</v>
      </c>
      <c r="O161" s="35" t="s">
        <v>139</v>
      </c>
      <c r="P161" s="35" t="s">
        <v>138</v>
      </c>
      <c r="Q161" s="35" t="s">
        <v>48</v>
      </c>
      <c r="R161" s="35" t="s">
        <v>140</v>
      </c>
      <c r="S161" s="36">
        <v>46114</v>
      </c>
      <c r="T161" s="36"/>
      <c r="U161" s="35" t="s">
        <v>141</v>
      </c>
      <c r="V161" s="35" t="s">
        <v>329</v>
      </c>
      <c r="W161" s="35" t="s">
        <v>330</v>
      </c>
      <c r="X161" s="36">
        <v>46177</v>
      </c>
      <c r="Y161" s="35" t="s">
        <v>331</v>
      </c>
    </row>
    <row r="162" spans="1:25">
      <c r="A162" s="35" t="s">
        <v>928</v>
      </c>
      <c r="B162" s="35" t="s">
        <v>513</v>
      </c>
      <c r="C162" s="35" t="s">
        <v>929</v>
      </c>
      <c r="D162" s="35" t="s">
        <v>930</v>
      </c>
      <c r="E162" s="35" t="s">
        <v>86</v>
      </c>
      <c r="F162" s="35" t="s">
        <v>86</v>
      </c>
      <c r="G162" s="35" t="s">
        <v>931</v>
      </c>
      <c r="H162" s="35" t="s">
        <v>457</v>
      </c>
      <c r="I162" s="35" t="s">
        <v>43</v>
      </c>
      <c r="J162" s="35" t="s">
        <v>357</v>
      </c>
      <c r="K162" s="35" t="s">
        <v>44</v>
      </c>
      <c r="L162" s="35" t="s">
        <v>932</v>
      </c>
      <c r="M162" s="35" t="s">
        <v>45</v>
      </c>
      <c r="N162" s="35" t="s">
        <v>46</v>
      </c>
      <c r="O162" s="35" t="s">
        <v>138</v>
      </c>
      <c r="P162" s="35" t="s">
        <v>138</v>
      </c>
      <c r="Q162" s="35" t="s">
        <v>48</v>
      </c>
      <c r="R162" s="35" t="s">
        <v>140</v>
      </c>
      <c r="S162" s="36">
        <v>46041</v>
      </c>
      <c r="T162" s="36"/>
      <c r="U162" s="35" t="s">
        <v>141</v>
      </c>
      <c r="V162" s="35" t="s">
        <v>144</v>
      </c>
      <c r="W162" s="35" t="s">
        <v>338</v>
      </c>
      <c r="X162" s="36">
        <v>46186</v>
      </c>
      <c r="Y162" s="35" t="s">
        <v>389</v>
      </c>
    </row>
    <row r="163" spans="1:25">
      <c r="A163" s="35" t="s">
        <v>933</v>
      </c>
      <c r="B163" s="35" t="s">
        <v>78</v>
      </c>
      <c r="C163" s="35" t="s">
        <v>81</v>
      </c>
      <c r="D163" s="35" t="s">
        <v>934</v>
      </c>
      <c r="E163" s="35" t="s">
        <v>735</v>
      </c>
      <c r="F163" s="35" t="s">
        <v>735</v>
      </c>
      <c r="G163" s="35" t="s">
        <v>735</v>
      </c>
      <c r="H163" s="35" t="s">
        <v>356</v>
      </c>
      <c r="I163" s="35" t="s">
        <v>43</v>
      </c>
      <c r="J163" s="35" t="s">
        <v>357</v>
      </c>
      <c r="K163" s="35" t="s">
        <v>44</v>
      </c>
      <c r="L163" s="35" t="s">
        <v>935</v>
      </c>
      <c r="M163" s="35" t="s">
        <v>45</v>
      </c>
      <c r="N163" s="35" t="s">
        <v>46</v>
      </c>
      <c r="O163" s="35" t="s">
        <v>47</v>
      </c>
      <c r="P163" s="35" t="s">
        <v>47</v>
      </c>
      <c r="Q163" s="35" t="s">
        <v>48</v>
      </c>
      <c r="R163" s="35" t="s">
        <v>46</v>
      </c>
      <c r="S163" s="36">
        <v>46143</v>
      </c>
      <c r="T163" s="36">
        <v>46152</v>
      </c>
      <c r="U163" s="35" t="s">
        <v>49</v>
      </c>
      <c r="V163" s="35" t="s">
        <v>348</v>
      </c>
      <c r="W163" s="35" t="s">
        <v>330</v>
      </c>
      <c r="X163" s="36">
        <v>46186</v>
      </c>
      <c r="Y163" s="35" t="s">
        <v>350</v>
      </c>
    </row>
    <row r="164" spans="1:25">
      <c r="A164" s="35" t="s">
        <v>936</v>
      </c>
      <c r="B164" s="35" t="s">
        <v>60</v>
      </c>
      <c r="C164" s="35" t="s">
        <v>937</v>
      </c>
      <c r="D164" s="35" t="s">
        <v>938</v>
      </c>
      <c r="E164" s="35" t="s">
        <v>464</v>
      </c>
      <c r="F164" s="35" t="s">
        <v>464</v>
      </c>
      <c r="G164" s="35" t="s">
        <v>939</v>
      </c>
      <c r="H164" s="35" t="s">
        <v>593</v>
      </c>
      <c r="I164" s="35" t="s">
        <v>132</v>
      </c>
      <c r="J164" s="35" t="s">
        <v>401</v>
      </c>
      <c r="K164" s="35" t="s">
        <v>53</v>
      </c>
      <c r="L164" s="35" t="s">
        <v>54</v>
      </c>
      <c r="M164" s="35" t="s">
        <v>45</v>
      </c>
      <c r="N164" s="35" t="s">
        <v>46</v>
      </c>
      <c r="O164" s="35" t="s">
        <v>138</v>
      </c>
      <c r="P164" s="35" t="s">
        <v>138</v>
      </c>
      <c r="Q164" s="35" t="s">
        <v>48</v>
      </c>
      <c r="R164" s="35" t="s">
        <v>140</v>
      </c>
      <c r="S164" s="36">
        <v>46157</v>
      </c>
      <c r="T164" s="36"/>
      <c r="U164" s="35" t="s">
        <v>141</v>
      </c>
      <c r="V164" s="35" t="s">
        <v>144</v>
      </c>
      <c r="W164" s="35" t="s">
        <v>349</v>
      </c>
      <c r="X164" s="36">
        <v>46176</v>
      </c>
      <c r="Y164" s="35" t="s">
        <v>389</v>
      </c>
    </row>
    <row r="165" spans="1:25">
      <c r="A165" s="35" t="s">
        <v>940</v>
      </c>
      <c r="B165" s="35" t="s">
        <v>65</v>
      </c>
      <c r="C165" s="35" t="s">
        <v>941</v>
      </c>
      <c r="D165" s="35" t="s">
        <v>942</v>
      </c>
      <c r="E165" s="35" t="s">
        <v>86</v>
      </c>
      <c r="F165" s="35" t="s">
        <v>86</v>
      </c>
      <c r="G165" s="35" t="s">
        <v>86</v>
      </c>
      <c r="H165" s="35" t="s">
        <v>122</v>
      </c>
      <c r="I165" s="35" t="s">
        <v>51</v>
      </c>
      <c r="J165" s="35" t="s">
        <v>52</v>
      </c>
      <c r="K165" s="35" t="s">
        <v>53</v>
      </c>
      <c r="L165" s="35" t="s">
        <v>54</v>
      </c>
      <c r="M165" s="35" t="s">
        <v>55</v>
      </c>
      <c r="N165" s="35" t="s">
        <v>137</v>
      </c>
      <c r="O165" s="35" t="s">
        <v>57</v>
      </c>
      <c r="P165" s="35" t="s">
        <v>139</v>
      </c>
      <c r="Q165" s="35" t="s">
        <v>58</v>
      </c>
      <c r="R165" s="35" t="s">
        <v>57</v>
      </c>
      <c r="S165" s="36">
        <v>46063</v>
      </c>
      <c r="T165" s="36"/>
      <c r="U165" s="35" t="s">
        <v>56</v>
      </c>
      <c r="V165" s="35" t="s">
        <v>147</v>
      </c>
      <c r="W165" s="35" t="s">
        <v>441</v>
      </c>
      <c r="X165" s="36">
        <v>46185</v>
      </c>
      <c r="Y165" s="35" t="s">
        <v>406</v>
      </c>
    </row>
    <row r="166" spans="1:25">
      <c r="A166" s="35" t="s">
        <v>943</v>
      </c>
      <c r="B166" s="35" t="s">
        <v>59</v>
      </c>
      <c r="C166" s="35" t="s">
        <v>944</v>
      </c>
      <c r="D166" s="35" t="s">
        <v>945</v>
      </c>
      <c r="E166" s="35" t="s">
        <v>103</v>
      </c>
      <c r="F166" s="35" t="s">
        <v>103</v>
      </c>
      <c r="G166" s="35" t="s">
        <v>103</v>
      </c>
      <c r="H166" s="35" t="s">
        <v>122</v>
      </c>
      <c r="I166" s="35" t="s">
        <v>132</v>
      </c>
      <c r="J166" s="35" t="s">
        <v>946</v>
      </c>
      <c r="K166" s="35" t="s">
        <v>53</v>
      </c>
      <c r="L166" s="35" t="s">
        <v>54</v>
      </c>
      <c r="M166" s="35" t="s">
        <v>45</v>
      </c>
      <c r="N166" s="35" t="s">
        <v>46</v>
      </c>
      <c r="O166" s="35" t="s">
        <v>138</v>
      </c>
      <c r="P166" s="35" t="s">
        <v>138</v>
      </c>
      <c r="Q166" s="35" t="s">
        <v>48</v>
      </c>
      <c r="R166" s="35" t="s">
        <v>140</v>
      </c>
      <c r="S166" s="36">
        <v>46159</v>
      </c>
      <c r="T166" s="36"/>
      <c r="U166" s="35" t="s">
        <v>141</v>
      </c>
      <c r="V166" s="35" t="s">
        <v>435</v>
      </c>
      <c r="W166" s="35" t="s">
        <v>365</v>
      </c>
      <c r="X166" s="36">
        <v>46186</v>
      </c>
      <c r="Y166" s="35" t="s">
        <v>436</v>
      </c>
    </row>
    <row r="167" spans="1:25">
      <c r="A167" s="35" t="s">
        <v>947</v>
      </c>
      <c r="B167" s="35" t="s">
        <v>60</v>
      </c>
      <c r="C167" s="35" t="s">
        <v>948</v>
      </c>
      <c r="D167" s="35" t="s">
        <v>949</v>
      </c>
      <c r="E167" s="35" t="s">
        <v>100</v>
      </c>
      <c r="F167" s="35" t="s">
        <v>100</v>
      </c>
      <c r="G167" s="35" t="s">
        <v>100</v>
      </c>
      <c r="H167" s="35" t="s">
        <v>371</v>
      </c>
      <c r="I167" s="35" t="s">
        <v>129</v>
      </c>
      <c r="J167" s="35" t="s">
        <v>134</v>
      </c>
      <c r="K167" s="35" t="s">
        <v>44</v>
      </c>
      <c r="L167" s="35" t="s">
        <v>950</v>
      </c>
      <c r="M167" s="35" t="s">
        <v>55</v>
      </c>
      <c r="N167" s="35" t="s">
        <v>46</v>
      </c>
      <c r="O167" s="35" t="s">
        <v>47</v>
      </c>
      <c r="P167" s="35" t="s">
        <v>139</v>
      </c>
      <c r="Q167" s="35" t="s">
        <v>48</v>
      </c>
      <c r="R167" s="35" t="s">
        <v>46</v>
      </c>
      <c r="S167" s="36">
        <v>46047</v>
      </c>
      <c r="T167" s="36">
        <v>46059</v>
      </c>
      <c r="U167" s="35" t="s">
        <v>49</v>
      </c>
      <c r="V167" s="35" t="s">
        <v>348</v>
      </c>
      <c r="W167" s="35" t="s">
        <v>338</v>
      </c>
      <c r="X167" s="36">
        <v>46180</v>
      </c>
      <c r="Y167" s="35" t="s">
        <v>350</v>
      </c>
    </row>
    <row r="168" spans="1:25">
      <c r="A168" s="35" t="s">
        <v>951</v>
      </c>
      <c r="B168" s="35" t="s">
        <v>403</v>
      </c>
      <c r="C168" s="35" t="s">
        <v>660</v>
      </c>
      <c r="D168" s="35" t="s">
        <v>952</v>
      </c>
      <c r="E168" s="35" t="s">
        <v>98</v>
      </c>
      <c r="F168" s="35" t="s">
        <v>98</v>
      </c>
      <c r="G168" s="35" t="s">
        <v>98</v>
      </c>
      <c r="H168" s="35" t="s">
        <v>388</v>
      </c>
      <c r="I168" s="35" t="s">
        <v>43</v>
      </c>
      <c r="J168" s="35" t="s">
        <v>357</v>
      </c>
      <c r="K168" s="35" t="s">
        <v>44</v>
      </c>
      <c r="L168" s="35" t="s">
        <v>953</v>
      </c>
      <c r="M168" s="35" t="s">
        <v>45</v>
      </c>
      <c r="N168" s="35" t="s">
        <v>46</v>
      </c>
      <c r="O168" s="35" t="s">
        <v>47</v>
      </c>
      <c r="P168" s="35" t="s">
        <v>47</v>
      </c>
      <c r="Q168" s="35" t="s">
        <v>48</v>
      </c>
      <c r="R168" s="35" t="s">
        <v>46</v>
      </c>
      <c r="S168" s="36">
        <v>46128</v>
      </c>
      <c r="T168" s="36">
        <v>46148</v>
      </c>
      <c r="U168" s="35" t="s">
        <v>49</v>
      </c>
      <c r="V168" s="35" t="s">
        <v>348</v>
      </c>
      <c r="W168" s="35" t="s">
        <v>441</v>
      </c>
      <c r="X168" s="36">
        <v>46176</v>
      </c>
      <c r="Y168" s="35" t="s">
        <v>350</v>
      </c>
    </row>
    <row r="169" spans="1:25">
      <c r="A169" s="35" t="s">
        <v>954</v>
      </c>
      <c r="B169" s="35" t="s">
        <v>61</v>
      </c>
      <c r="C169" s="35" t="s">
        <v>955</v>
      </c>
      <c r="D169" s="35" t="s">
        <v>956</v>
      </c>
      <c r="E169" s="35" t="s">
        <v>439</v>
      </c>
      <c r="F169" s="35" t="s">
        <v>439</v>
      </c>
      <c r="G169" s="35" t="s">
        <v>439</v>
      </c>
      <c r="H169" s="35" t="s">
        <v>707</v>
      </c>
      <c r="I169" s="35" t="s">
        <v>131</v>
      </c>
      <c r="J169" s="35" t="s">
        <v>342</v>
      </c>
      <c r="K169" s="35" t="s">
        <v>53</v>
      </c>
      <c r="L169" s="35" t="s">
        <v>54</v>
      </c>
      <c r="M169" s="35" t="s">
        <v>136</v>
      </c>
      <c r="N169" s="35" t="s">
        <v>46</v>
      </c>
      <c r="O169" s="35" t="s">
        <v>139</v>
      </c>
      <c r="P169" s="35" t="s">
        <v>56</v>
      </c>
      <c r="Q169" s="35" t="s">
        <v>48</v>
      </c>
      <c r="R169" s="35" t="s">
        <v>137</v>
      </c>
      <c r="S169" s="36">
        <v>46123</v>
      </c>
      <c r="T169" s="36"/>
      <c r="U169" s="35" t="s">
        <v>56</v>
      </c>
      <c r="V169" s="35" t="s">
        <v>364</v>
      </c>
      <c r="W169" s="35" t="s">
        <v>349</v>
      </c>
      <c r="X169" s="36">
        <v>46178</v>
      </c>
      <c r="Y169" s="35" t="s">
        <v>366</v>
      </c>
    </row>
    <row r="170" spans="1:25">
      <c r="A170" s="35" t="s">
        <v>957</v>
      </c>
      <c r="B170" s="35" t="s">
        <v>68</v>
      </c>
      <c r="C170" s="35" t="s">
        <v>958</v>
      </c>
      <c r="D170" s="35" t="s">
        <v>959</v>
      </c>
      <c r="E170" s="35" t="s">
        <v>87</v>
      </c>
      <c r="F170" s="35" t="s">
        <v>87</v>
      </c>
      <c r="G170" s="35" t="s">
        <v>959</v>
      </c>
      <c r="H170" s="35" t="s">
        <v>397</v>
      </c>
      <c r="I170" s="35" t="s">
        <v>131</v>
      </c>
      <c r="J170" s="35" t="s">
        <v>342</v>
      </c>
      <c r="K170" s="35" t="s">
        <v>53</v>
      </c>
      <c r="L170" s="35" t="s">
        <v>54</v>
      </c>
      <c r="M170" s="35" t="s">
        <v>136</v>
      </c>
      <c r="N170" s="35" t="s">
        <v>46</v>
      </c>
      <c r="O170" s="35" t="s">
        <v>139</v>
      </c>
      <c r="P170" s="35" t="s">
        <v>138</v>
      </c>
      <c r="Q170" s="35" t="s">
        <v>48</v>
      </c>
      <c r="R170" s="35" t="s">
        <v>140</v>
      </c>
      <c r="S170" s="36">
        <v>46083</v>
      </c>
      <c r="T170" s="36"/>
      <c r="U170" s="35" t="s">
        <v>141</v>
      </c>
      <c r="V170" s="35" t="s">
        <v>412</v>
      </c>
      <c r="W170" s="35" t="s">
        <v>441</v>
      </c>
      <c r="X170" s="36">
        <v>46184</v>
      </c>
      <c r="Y170" s="35" t="s">
        <v>413</v>
      </c>
    </row>
    <row r="171" spans="1:25">
      <c r="A171" s="35" t="s">
        <v>960</v>
      </c>
      <c r="B171" s="35" t="s">
        <v>61</v>
      </c>
      <c r="C171" s="35" t="s">
        <v>676</v>
      </c>
      <c r="D171" s="35" t="s">
        <v>961</v>
      </c>
      <c r="E171" s="35" t="s">
        <v>456</v>
      </c>
      <c r="F171" s="35" t="s">
        <v>456</v>
      </c>
      <c r="G171" s="35" t="s">
        <v>962</v>
      </c>
      <c r="H171" s="35" t="s">
        <v>670</v>
      </c>
      <c r="I171" s="35" t="s">
        <v>51</v>
      </c>
      <c r="J171" s="35" t="s">
        <v>52</v>
      </c>
      <c r="K171" s="35" t="s">
        <v>53</v>
      </c>
      <c r="L171" s="35" t="s">
        <v>54</v>
      </c>
      <c r="M171" s="35" t="s">
        <v>136</v>
      </c>
      <c r="N171" s="35" t="s">
        <v>46</v>
      </c>
      <c r="O171" s="35" t="s">
        <v>139</v>
      </c>
      <c r="P171" s="35" t="s">
        <v>138</v>
      </c>
      <c r="Q171" s="35" t="s">
        <v>48</v>
      </c>
      <c r="R171" s="35" t="s">
        <v>140</v>
      </c>
      <c r="S171" s="36">
        <v>46079</v>
      </c>
      <c r="T171" s="36"/>
      <c r="U171" s="35" t="s">
        <v>141</v>
      </c>
      <c r="V171" s="35" t="s">
        <v>144</v>
      </c>
      <c r="W171" s="35" t="s">
        <v>349</v>
      </c>
      <c r="X171" s="36">
        <v>46187</v>
      </c>
      <c r="Y171" s="35" t="s">
        <v>389</v>
      </c>
    </row>
    <row r="172" spans="1:25">
      <c r="A172" s="35" t="s">
        <v>963</v>
      </c>
      <c r="B172" s="35" t="s">
        <v>70</v>
      </c>
      <c r="C172" s="35" t="s">
        <v>964</v>
      </c>
      <c r="D172" s="35" t="s">
        <v>965</v>
      </c>
      <c r="E172" s="35" t="s">
        <v>104</v>
      </c>
      <c r="F172" s="35" t="s">
        <v>104</v>
      </c>
      <c r="G172" s="35" t="s">
        <v>104</v>
      </c>
      <c r="H172" s="35" t="s">
        <v>356</v>
      </c>
      <c r="I172" s="35" t="s">
        <v>346</v>
      </c>
      <c r="J172" s="35" t="s">
        <v>347</v>
      </c>
      <c r="K172" s="35" t="s">
        <v>53</v>
      </c>
      <c r="L172" s="35" t="s">
        <v>54</v>
      </c>
      <c r="M172" s="35" t="s">
        <v>45</v>
      </c>
      <c r="N172" s="35" t="s">
        <v>46</v>
      </c>
      <c r="O172" s="35" t="s">
        <v>47</v>
      </c>
      <c r="P172" s="35" t="s">
        <v>56</v>
      </c>
      <c r="Q172" s="35" t="s">
        <v>58</v>
      </c>
      <c r="R172" s="35" t="s">
        <v>56</v>
      </c>
      <c r="S172" s="36">
        <v>46051</v>
      </c>
      <c r="T172" s="36"/>
      <c r="U172" s="35" t="s">
        <v>56</v>
      </c>
      <c r="V172" s="35" t="s">
        <v>143</v>
      </c>
      <c r="W172" s="35" t="s">
        <v>349</v>
      </c>
      <c r="X172" s="36">
        <v>46177</v>
      </c>
      <c r="Y172" s="35" t="s">
        <v>343</v>
      </c>
    </row>
    <row r="173" spans="1:25">
      <c r="A173" s="35" t="s">
        <v>966</v>
      </c>
      <c r="B173" s="35" t="s">
        <v>72</v>
      </c>
      <c r="C173" s="35" t="s">
        <v>967</v>
      </c>
      <c r="D173" s="35" t="s">
        <v>968</v>
      </c>
      <c r="E173" s="35" t="s">
        <v>91</v>
      </c>
      <c r="F173" s="35" t="s">
        <v>91</v>
      </c>
      <c r="G173" s="35" t="s">
        <v>91</v>
      </c>
      <c r="H173" s="35" t="s">
        <v>356</v>
      </c>
      <c r="I173" s="35" t="s">
        <v>132</v>
      </c>
      <c r="J173" s="35" t="s">
        <v>530</v>
      </c>
      <c r="K173" s="35" t="s">
        <v>53</v>
      </c>
      <c r="L173" s="35" t="s">
        <v>54</v>
      </c>
      <c r="M173" s="35" t="s">
        <v>45</v>
      </c>
      <c r="N173" s="35" t="s">
        <v>46</v>
      </c>
      <c r="O173" s="35" t="s">
        <v>138</v>
      </c>
      <c r="P173" s="35" t="s">
        <v>138</v>
      </c>
      <c r="Q173" s="35" t="s">
        <v>48</v>
      </c>
      <c r="R173" s="35" t="s">
        <v>140</v>
      </c>
      <c r="S173" s="36">
        <v>46069</v>
      </c>
      <c r="T173" s="36"/>
      <c r="U173" s="35" t="s">
        <v>141</v>
      </c>
      <c r="V173" s="35" t="s">
        <v>329</v>
      </c>
      <c r="W173" s="35" t="s">
        <v>365</v>
      </c>
      <c r="X173" s="36">
        <v>46177</v>
      </c>
      <c r="Y173" s="35" t="s">
        <v>331</v>
      </c>
    </row>
    <row r="174" spans="1:25">
      <c r="A174" s="35" t="s">
        <v>969</v>
      </c>
      <c r="B174" s="35" t="s">
        <v>68</v>
      </c>
      <c r="C174" s="35" t="s">
        <v>970</v>
      </c>
      <c r="D174" s="35" t="s">
        <v>971</v>
      </c>
      <c r="E174" s="35" t="s">
        <v>84</v>
      </c>
      <c r="F174" s="35" t="s">
        <v>84</v>
      </c>
      <c r="G174" s="35" t="s">
        <v>971</v>
      </c>
      <c r="H174" s="35" t="s">
        <v>114</v>
      </c>
      <c r="I174" s="35" t="s">
        <v>346</v>
      </c>
      <c r="J174" s="35" t="s">
        <v>347</v>
      </c>
      <c r="K174" s="35" t="s">
        <v>53</v>
      </c>
      <c r="L174" s="35" t="s">
        <v>54</v>
      </c>
      <c r="M174" s="35" t="s">
        <v>55</v>
      </c>
      <c r="N174" s="35" t="s">
        <v>46</v>
      </c>
      <c r="O174" s="35" t="s">
        <v>138</v>
      </c>
      <c r="P174" s="35" t="s">
        <v>139</v>
      </c>
      <c r="Q174" s="35" t="s">
        <v>48</v>
      </c>
      <c r="R174" s="35" t="s">
        <v>140</v>
      </c>
      <c r="S174" s="36">
        <v>46131</v>
      </c>
      <c r="T174" s="36"/>
      <c r="U174" s="35" t="s">
        <v>141</v>
      </c>
      <c r="V174" s="35" t="s">
        <v>412</v>
      </c>
      <c r="W174" s="35" t="s">
        <v>349</v>
      </c>
      <c r="X174" s="36">
        <v>46181</v>
      </c>
      <c r="Y174" s="35" t="s">
        <v>413</v>
      </c>
    </row>
    <row r="175" spans="1:25">
      <c r="A175" s="35" t="s">
        <v>972</v>
      </c>
      <c r="B175" s="35" t="s">
        <v>74</v>
      </c>
      <c r="C175" s="35" t="s">
        <v>380</v>
      </c>
      <c r="D175" s="35" t="s">
        <v>973</v>
      </c>
      <c r="E175" s="35" t="s">
        <v>105</v>
      </c>
      <c r="F175" s="35" t="s">
        <v>105</v>
      </c>
      <c r="G175" s="35" t="s">
        <v>105</v>
      </c>
      <c r="H175" s="35" t="s">
        <v>707</v>
      </c>
      <c r="I175" s="35" t="s">
        <v>130</v>
      </c>
      <c r="J175" s="35" t="s">
        <v>393</v>
      </c>
      <c r="K175" s="35" t="s">
        <v>53</v>
      </c>
      <c r="L175" s="35" t="s">
        <v>54</v>
      </c>
      <c r="M175" s="35" t="s">
        <v>136</v>
      </c>
      <c r="N175" s="35" t="s">
        <v>46</v>
      </c>
      <c r="O175" s="35" t="s">
        <v>139</v>
      </c>
      <c r="P175" s="35" t="s">
        <v>56</v>
      </c>
      <c r="Q175" s="35" t="s">
        <v>58</v>
      </c>
      <c r="R175" s="35" t="s">
        <v>56</v>
      </c>
      <c r="S175" s="36">
        <v>46066</v>
      </c>
      <c r="T175" s="36"/>
      <c r="U175" s="35" t="s">
        <v>56</v>
      </c>
      <c r="V175" s="35" t="s">
        <v>143</v>
      </c>
      <c r="W175" s="35" t="s">
        <v>365</v>
      </c>
      <c r="X175" s="36">
        <v>46176</v>
      </c>
      <c r="Y175" s="35" t="s">
        <v>343</v>
      </c>
    </row>
    <row r="176" spans="1:25">
      <c r="A176" s="35" t="s">
        <v>974</v>
      </c>
      <c r="B176" s="35" t="s">
        <v>72</v>
      </c>
      <c r="C176" s="35" t="s">
        <v>975</v>
      </c>
      <c r="D176" s="35" t="s">
        <v>976</v>
      </c>
      <c r="E176" s="35" t="s">
        <v>874</v>
      </c>
      <c r="F176" s="35" t="s">
        <v>874</v>
      </c>
      <c r="G176" s="35" t="s">
        <v>874</v>
      </c>
      <c r="H176" s="35" t="s">
        <v>465</v>
      </c>
      <c r="I176" s="35" t="s">
        <v>43</v>
      </c>
      <c r="J176" s="35" t="s">
        <v>357</v>
      </c>
      <c r="K176" s="35" t="s">
        <v>44</v>
      </c>
      <c r="L176" s="35" t="s">
        <v>977</v>
      </c>
      <c r="M176" s="35" t="s">
        <v>136</v>
      </c>
      <c r="N176" s="35" t="s">
        <v>46</v>
      </c>
      <c r="O176" s="35" t="s">
        <v>139</v>
      </c>
      <c r="P176" s="35" t="s">
        <v>56</v>
      </c>
      <c r="Q176" s="35" t="s">
        <v>58</v>
      </c>
      <c r="R176" s="35" t="s">
        <v>56</v>
      </c>
      <c r="S176" s="36">
        <v>46151</v>
      </c>
      <c r="T176" s="36"/>
      <c r="U176" s="35" t="s">
        <v>56</v>
      </c>
      <c r="V176" s="35" t="s">
        <v>143</v>
      </c>
      <c r="W176" s="35" t="s">
        <v>338</v>
      </c>
      <c r="X176" s="36">
        <v>46179</v>
      </c>
      <c r="Y176" s="35" t="s">
        <v>343</v>
      </c>
    </row>
    <row r="177" spans="1:25">
      <c r="A177" s="35" t="s">
        <v>978</v>
      </c>
      <c r="B177" s="35" t="s">
        <v>78</v>
      </c>
      <c r="C177" s="35" t="s">
        <v>979</v>
      </c>
      <c r="D177" s="35" t="s">
        <v>980</v>
      </c>
      <c r="E177" s="35" t="s">
        <v>89</v>
      </c>
      <c r="F177" s="35" t="s">
        <v>89</v>
      </c>
      <c r="G177" s="35" t="s">
        <v>980</v>
      </c>
      <c r="H177" s="35" t="s">
        <v>670</v>
      </c>
      <c r="I177" s="35" t="s">
        <v>129</v>
      </c>
      <c r="J177" s="35" t="s">
        <v>134</v>
      </c>
      <c r="K177" s="35" t="s">
        <v>44</v>
      </c>
      <c r="L177" s="35" t="s">
        <v>981</v>
      </c>
      <c r="M177" s="35" t="s">
        <v>45</v>
      </c>
      <c r="N177" s="35" t="s">
        <v>46</v>
      </c>
      <c r="O177" s="35" t="s">
        <v>138</v>
      </c>
      <c r="P177" s="35" t="s">
        <v>138</v>
      </c>
      <c r="Q177" s="35" t="s">
        <v>48</v>
      </c>
      <c r="R177" s="35" t="s">
        <v>140</v>
      </c>
      <c r="S177" s="36">
        <v>46150</v>
      </c>
      <c r="T177" s="36"/>
      <c r="U177" s="35" t="s">
        <v>141</v>
      </c>
      <c r="V177" s="35" t="s">
        <v>412</v>
      </c>
      <c r="W177" s="35" t="s">
        <v>441</v>
      </c>
      <c r="X177" s="36">
        <v>46177</v>
      </c>
      <c r="Y177" s="35" t="s">
        <v>413</v>
      </c>
    </row>
    <row r="178" spans="1:25">
      <c r="A178" s="35" t="s">
        <v>982</v>
      </c>
      <c r="B178" s="35" t="s">
        <v>78</v>
      </c>
      <c r="C178" s="35" t="s">
        <v>983</v>
      </c>
      <c r="D178" s="35" t="s">
        <v>984</v>
      </c>
      <c r="E178" s="35" t="s">
        <v>405</v>
      </c>
      <c r="F178" s="35" t="s">
        <v>405</v>
      </c>
      <c r="G178" s="35" t="s">
        <v>405</v>
      </c>
      <c r="H178" s="35" t="s">
        <v>120</v>
      </c>
      <c r="I178" s="35" t="s">
        <v>51</v>
      </c>
      <c r="J178" s="35" t="s">
        <v>611</v>
      </c>
      <c r="K178" s="35" t="s">
        <v>53</v>
      </c>
      <c r="L178" s="35" t="s">
        <v>54</v>
      </c>
      <c r="M178" s="35" t="s">
        <v>45</v>
      </c>
      <c r="N178" s="35" t="s">
        <v>46</v>
      </c>
      <c r="O178" s="35" t="s">
        <v>138</v>
      </c>
      <c r="P178" s="35" t="s">
        <v>138</v>
      </c>
      <c r="Q178" s="35" t="s">
        <v>48</v>
      </c>
      <c r="R178" s="35" t="s">
        <v>140</v>
      </c>
      <c r="S178" s="36">
        <v>46129</v>
      </c>
      <c r="T178" s="36"/>
      <c r="U178" s="35" t="s">
        <v>141</v>
      </c>
      <c r="V178" s="35" t="s">
        <v>435</v>
      </c>
      <c r="W178" s="35" t="s">
        <v>365</v>
      </c>
      <c r="X178" s="36">
        <v>46184</v>
      </c>
      <c r="Y178" s="35" t="s">
        <v>436</v>
      </c>
    </row>
    <row r="179" spans="1:25">
      <c r="A179" s="35" t="s">
        <v>985</v>
      </c>
      <c r="B179" s="35" t="s">
        <v>63</v>
      </c>
      <c r="C179" s="35" t="s">
        <v>986</v>
      </c>
      <c r="D179" s="35" t="s">
        <v>987</v>
      </c>
      <c r="E179" s="35" t="s">
        <v>381</v>
      </c>
      <c r="F179" s="35" t="s">
        <v>381</v>
      </c>
      <c r="G179" s="35" t="s">
        <v>381</v>
      </c>
      <c r="H179" s="35" t="s">
        <v>113</v>
      </c>
      <c r="I179" s="35" t="s">
        <v>43</v>
      </c>
      <c r="J179" s="35" t="s">
        <v>357</v>
      </c>
      <c r="K179" s="35" t="s">
        <v>44</v>
      </c>
      <c r="L179" s="35" t="s">
        <v>135</v>
      </c>
      <c r="M179" s="35" t="s">
        <v>136</v>
      </c>
      <c r="N179" s="35" t="s">
        <v>46</v>
      </c>
      <c r="O179" s="35" t="s">
        <v>139</v>
      </c>
      <c r="P179" s="35" t="s">
        <v>138</v>
      </c>
      <c r="Q179" s="35" t="s">
        <v>48</v>
      </c>
      <c r="R179" s="35" t="s">
        <v>140</v>
      </c>
      <c r="S179" s="36">
        <v>46070</v>
      </c>
      <c r="T179" s="36"/>
      <c r="U179" s="35" t="s">
        <v>141</v>
      </c>
      <c r="V179" s="35" t="s">
        <v>377</v>
      </c>
      <c r="W179" s="35" t="s">
        <v>330</v>
      </c>
      <c r="X179" s="36">
        <v>46185</v>
      </c>
      <c r="Y179" s="35" t="s">
        <v>378</v>
      </c>
    </row>
    <row r="180" spans="1:25">
      <c r="A180" s="35" t="s">
        <v>988</v>
      </c>
      <c r="B180" s="35" t="s">
        <v>66</v>
      </c>
      <c r="C180" s="35" t="s">
        <v>621</v>
      </c>
      <c r="D180" s="35" t="s">
        <v>989</v>
      </c>
      <c r="E180" s="35" t="s">
        <v>529</v>
      </c>
      <c r="F180" s="35" t="s">
        <v>529</v>
      </c>
      <c r="G180" s="35" t="s">
        <v>989</v>
      </c>
      <c r="H180" s="35" t="s">
        <v>114</v>
      </c>
      <c r="I180" s="35" t="s">
        <v>346</v>
      </c>
      <c r="J180" s="35" t="s">
        <v>347</v>
      </c>
      <c r="K180" s="35" t="s">
        <v>53</v>
      </c>
      <c r="L180" s="35" t="s">
        <v>54</v>
      </c>
      <c r="M180" s="35" t="s">
        <v>136</v>
      </c>
      <c r="N180" s="35" t="s">
        <v>46</v>
      </c>
      <c r="O180" s="35" t="s">
        <v>139</v>
      </c>
      <c r="P180" s="35" t="s">
        <v>138</v>
      </c>
      <c r="Q180" s="35" t="s">
        <v>48</v>
      </c>
      <c r="R180" s="35" t="s">
        <v>140</v>
      </c>
      <c r="S180" s="36">
        <v>46055</v>
      </c>
      <c r="T180" s="36"/>
      <c r="U180" s="35" t="s">
        <v>141</v>
      </c>
      <c r="V180" s="35" t="s">
        <v>412</v>
      </c>
      <c r="W180" s="35" t="s">
        <v>441</v>
      </c>
      <c r="X180" s="36">
        <v>46178</v>
      </c>
      <c r="Y180" s="35" t="s">
        <v>413</v>
      </c>
    </row>
    <row r="181" spans="1:25">
      <c r="A181" s="35" t="s">
        <v>990</v>
      </c>
      <c r="B181" s="35" t="s">
        <v>70</v>
      </c>
      <c r="C181" s="35" t="s">
        <v>991</v>
      </c>
      <c r="D181" s="35" t="s">
        <v>992</v>
      </c>
      <c r="E181" s="35" t="s">
        <v>826</v>
      </c>
      <c r="F181" s="35" t="s">
        <v>826</v>
      </c>
      <c r="G181" s="35" t="s">
        <v>826</v>
      </c>
      <c r="H181" s="35" t="s">
        <v>112</v>
      </c>
      <c r="I181" s="35" t="s">
        <v>51</v>
      </c>
      <c r="J181" s="35" t="s">
        <v>611</v>
      </c>
      <c r="K181" s="35" t="s">
        <v>53</v>
      </c>
      <c r="L181" s="35" t="s">
        <v>54</v>
      </c>
      <c r="M181" s="35" t="s">
        <v>55</v>
      </c>
      <c r="N181" s="35" t="s">
        <v>46</v>
      </c>
      <c r="O181" s="35" t="s">
        <v>138</v>
      </c>
      <c r="P181" s="35" t="s">
        <v>139</v>
      </c>
      <c r="Q181" s="35" t="s">
        <v>48</v>
      </c>
      <c r="R181" s="35" t="s">
        <v>140</v>
      </c>
      <c r="S181" s="36">
        <v>46070</v>
      </c>
      <c r="T181" s="36"/>
      <c r="U181" s="35" t="s">
        <v>141</v>
      </c>
      <c r="V181" s="35" t="s">
        <v>435</v>
      </c>
      <c r="W181" s="35" t="s">
        <v>338</v>
      </c>
      <c r="X181" s="36">
        <v>46182</v>
      </c>
      <c r="Y181" s="35" t="s">
        <v>436</v>
      </c>
    </row>
    <row r="182" spans="1:25">
      <c r="A182" s="35" t="s">
        <v>993</v>
      </c>
      <c r="B182" s="35" t="s">
        <v>403</v>
      </c>
      <c r="C182" s="35" t="s">
        <v>994</v>
      </c>
      <c r="D182" s="35" t="s">
        <v>995</v>
      </c>
      <c r="E182" s="35" t="s">
        <v>91</v>
      </c>
      <c r="F182" s="35" t="s">
        <v>91</v>
      </c>
      <c r="G182" s="35" t="s">
        <v>91</v>
      </c>
      <c r="H182" s="35" t="s">
        <v>465</v>
      </c>
      <c r="I182" s="35" t="s">
        <v>51</v>
      </c>
      <c r="J182" s="35" t="s">
        <v>52</v>
      </c>
      <c r="K182" s="35" t="s">
        <v>53</v>
      </c>
      <c r="L182" s="35" t="s">
        <v>54</v>
      </c>
      <c r="M182" s="35" t="s">
        <v>55</v>
      </c>
      <c r="N182" s="35" t="s">
        <v>46</v>
      </c>
      <c r="O182" s="35" t="s">
        <v>47</v>
      </c>
      <c r="P182" s="35" t="s">
        <v>139</v>
      </c>
      <c r="Q182" s="35" t="s">
        <v>58</v>
      </c>
      <c r="R182" s="35" t="s">
        <v>56</v>
      </c>
      <c r="S182" s="36">
        <v>46094</v>
      </c>
      <c r="T182" s="36"/>
      <c r="U182" s="35" t="s">
        <v>56</v>
      </c>
      <c r="V182" s="35" t="s">
        <v>143</v>
      </c>
      <c r="W182" s="35" t="s">
        <v>338</v>
      </c>
      <c r="X182" s="36">
        <v>46181</v>
      </c>
      <c r="Y182" s="35" t="s">
        <v>343</v>
      </c>
    </row>
    <row r="183" spans="1:25">
      <c r="A183" s="35" t="s">
        <v>996</v>
      </c>
      <c r="B183" s="35" t="s">
        <v>395</v>
      </c>
      <c r="C183" s="35" t="s">
        <v>997</v>
      </c>
      <c r="D183" s="35" t="s">
        <v>998</v>
      </c>
      <c r="E183" s="35" t="s">
        <v>94</v>
      </c>
      <c r="F183" s="35" t="s">
        <v>94</v>
      </c>
      <c r="G183" s="35" t="s">
        <v>94</v>
      </c>
      <c r="H183" s="35" t="s">
        <v>696</v>
      </c>
      <c r="I183" s="35" t="s">
        <v>131</v>
      </c>
      <c r="J183" s="35" t="s">
        <v>342</v>
      </c>
      <c r="K183" s="35" t="s">
        <v>53</v>
      </c>
      <c r="L183" s="35" t="s">
        <v>54</v>
      </c>
      <c r="M183" s="35" t="s">
        <v>45</v>
      </c>
      <c r="N183" s="35" t="s">
        <v>46</v>
      </c>
      <c r="O183" s="35" t="s">
        <v>47</v>
      </c>
      <c r="P183" s="35" t="s">
        <v>47</v>
      </c>
      <c r="Q183" s="35" t="s">
        <v>48</v>
      </c>
      <c r="R183" s="35" t="s">
        <v>46</v>
      </c>
      <c r="S183" s="36">
        <v>46114</v>
      </c>
      <c r="T183" s="36">
        <v>46130</v>
      </c>
      <c r="U183" s="35" t="s">
        <v>49</v>
      </c>
      <c r="V183" s="35" t="s">
        <v>348</v>
      </c>
      <c r="W183" s="35" t="s">
        <v>330</v>
      </c>
      <c r="X183" s="36">
        <v>46184</v>
      </c>
      <c r="Y183" s="35" t="s">
        <v>350</v>
      </c>
    </row>
    <row r="184" spans="1:25">
      <c r="A184" s="35" t="s">
        <v>999</v>
      </c>
      <c r="B184" s="35" t="s">
        <v>76</v>
      </c>
      <c r="C184" s="35" t="s">
        <v>1000</v>
      </c>
      <c r="D184" s="35" t="s">
        <v>1001</v>
      </c>
      <c r="E184" s="35" t="s">
        <v>506</v>
      </c>
      <c r="F184" s="35" t="s">
        <v>506</v>
      </c>
      <c r="G184" s="35" t="s">
        <v>506</v>
      </c>
      <c r="H184" s="35" t="s">
        <v>108</v>
      </c>
      <c r="I184" s="35" t="s">
        <v>129</v>
      </c>
      <c r="J184" s="35" t="s">
        <v>134</v>
      </c>
      <c r="K184" s="35" t="s">
        <v>44</v>
      </c>
      <c r="L184" s="35" t="s">
        <v>1002</v>
      </c>
      <c r="M184" s="35" t="s">
        <v>55</v>
      </c>
      <c r="N184" s="35" t="s">
        <v>137</v>
      </c>
      <c r="O184" s="35" t="s">
        <v>57</v>
      </c>
      <c r="P184" s="35" t="s">
        <v>139</v>
      </c>
      <c r="Q184" s="35" t="s">
        <v>58</v>
      </c>
      <c r="R184" s="35" t="s">
        <v>57</v>
      </c>
      <c r="S184" s="36">
        <v>46123</v>
      </c>
      <c r="T184" s="36"/>
      <c r="U184" s="35" t="s">
        <v>56</v>
      </c>
      <c r="V184" s="35" t="s">
        <v>147</v>
      </c>
      <c r="W184" s="35" t="s">
        <v>330</v>
      </c>
      <c r="X184" s="36">
        <v>46185</v>
      </c>
      <c r="Y184" s="35" t="s">
        <v>406</v>
      </c>
    </row>
    <row r="185" spans="1:25">
      <c r="A185" s="35" t="s">
        <v>1003</v>
      </c>
      <c r="B185" s="35" t="s">
        <v>60</v>
      </c>
      <c r="C185" s="35" t="s">
        <v>1004</v>
      </c>
      <c r="D185" s="35" t="s">
        <v>1005</v>
      </c>
      <c r="E185" s="35" t="s">
        <v>422</v>
      </c>
      <c r="F185" s="35" t="s">
        <v>422</v>
      </c>
      <c r="G185" s="35" t="s">
        <v>422</v>
      </c>
      <c r="H185" s="35" t="s">
        <v>619</v>
      </c>
      <c r="I185" s="35" t="s">
        <v>51</v>
      </c>
      <c r="J185" s="35" t="s">
        <v>1006</v>
      </c>
      <c r="K185" s="35" t="s">
        <v>53</v>
      </c>
      <c r="L185" s="35" t="s">
        <v>54</v>
      </c>
      <c r="M185" s="35" t="s">
        <v>45</v>
      </c>
      <c r="N185" s="35" t="s">
        <v>46</v>
      </c>
      <c r="O185" s="35" t="s">
        <v>138</v>
      </c>
      <c r="P185" s="35" t="s">
        <v>138</v>
      </c>
      <c r="Q185" s="35" t="s">
        <v>48</v>
      </c>
      <c r="R185" s="35" t="s">
        <v>140</v>
      </c>
      <c r="S185" s="36">
        <v>46044</v>
      </c>
      <c r="T185" s="36"/>
      <c r="U185" s="35" t="s">
        <v>141</v>
      </c>
      <c r="V185" s="35" t="s">
        <v>329</v>
      </c>
      <c r="W185" s="35" t="s">
        <v>338</v>
      </c>
      <c r="X185" s="36">
        <v>46183</v>
      </c>
      <c r="Y185" s="35" t="s">
        <v>331</v>
      </c>
    </row>
    <row r="186" spans="1:25">
      <c r="A186" s="35" t="s">
        <v>1007</v>
      </c>
      <c r="B186" s="35" t="s">
        <v>76</v>
      </c>
      <c r="C186" s="35" t="s">
        <v>1008</v>
      </c>
      <c r="D186" s="35" t="s">
        <v>1009</v>
      </c>
      <c r="E186" s="35" t="s">
        <v>97</v>
      </c>
      <c r="F186" s="35" t="s">
        <v>97</v>
      </c>
      <c r="G186" s="35" t="s">
        <v>1009</v>
      </c>
      <c r="H186" s="35" t="s">
        <v>125</v>
      </c>
      <c r="I186" s="35" t="s">
        <v>132</v>
      </c>
      <c r="J186" s="35" t="s">
        <v>401</v>
      </c>
      <c r="K186" s="35" t="s">
        <v>53</v>
      </c>
      <c r="L186" s="35" t="s">
        <v>54</v>
      </c>
      <c r="M186" s="35" t="s">
        <v>45</v>
      </c>
      <c r="N186" s="35" t="s">
        <v>46</v>
      </c>
      <c r="O186" s="35" t="s">
        <v>138</v>
      </c>
      <c r="P186" s="35" t="s">
        <v>138</v>
      </c>
      <c r="Q186" s="35" t="s">
        <v>48</v>
      </c>
      <c r="R186" s="35" t="s">
        <v>140</v>
      </c>
      <c r="S186" s="36">
        <v>46153</v>
      </c>
      <c r="T186" s="36"/>
      <c r="U186" s="35" t="s">
        <v>141</v>
      </c>
      <c r="V186" s="35" t="s">
        <v>412</v>
      </c>
      <c r="W186" s="35" t="s">
        <v>330</v>
      </c>
      <c r="X186" s="36">
        <v>46177</v>
      </c>
      <c r="Y186" s="35" t="s">
        <v>413</v>
      </c>
    </row>
    <row r="187" spans="1:25">
      <c r="A187" s="35" t="s">
        <v>1010</v>
      </c>
      <c r="B187" s="35" t="s">
        <v>70</v>
      </c>
      <c r="C187" s="35" t="s">
        <v>1011</v>
      </c>
      <c r="D187" s="35" t="s">
        <v>1012</v>
      </c>
      <c r="E187" s="35" t="s">
        <v>427</v>
      </c>
      <c r="F187" s="35" t="s">
        <v>427</v>
      </c>
      <c r="G187" s="35" t="s">
        <v>427</v>
      </c>
      <c r="H187" s="35" t="s">
        <v>121</v>
      </c>
      <c r="I187" s="35" t="s">
        <v>129</v>
      </c>
      <c r="J187" s="35" t="s">
        <v>134</v>
      </c>
      <c r="K187" s="35" t="s">
        <v>44</v>
      </c>
      <c r="L187" s="35" t="s">
        <v>1013</v>
      </c>
      <c r="M187" s="35" t="s">
        <v>136</v>
      </c>
      <c r="N187" s="35" t="s">
        <v>46</v>
      </c>
      <c r="O187" s="35" t="s">
        <v>139</v>
      </c>
      <c r="P187" s="35" t="s">
        <v>47</v>
      </c>
      <c r="Q187" s="35" t="s">
        <v>48</v>
      </c>
      <c r="R187" s="35" t="s">
        <v>46</v>
      </c>
      <c r="S187" s="36">
        <v>46118</v>
      </c>
      <c r="T187" s="36">
        <v>46136</v>
      </c>
      <c r="U187" s="35" t="s">
        <v>49</v>
      </c>
      <c r="V187" s="35" t="s">
        <v>348</v>
      </c>
      <c r="W187" s="35" t="s">
        <v>349</v>
      </c>
      <c r="X187" s="36">
        <v>46181</v>
      </c>
      <c r="Y187" s="35" t="s">
        <v>350</v>
      </c>
    </row>
    <row r="188" spans="1:25">
      <c r="A188" s="35" t="s">
        <v>1014</v>
      </c>
      <c r="B188" s="35" t="s">
        <v>391</v>
      </c>
      <c r="C188" s="35" t="s">
        <v>1015</v>
      </c>
      <c r="D188" s="35" t="s">
        <v>1016</v>
      </c>
      <c r="E188" s="35" t="s">
        <v>874</v>
      </c>
      <c r="F188" s="35" t="s">
        <v>874</v>
      </c>
      <c r="G188" s="35" t="s">
        <v>1017</v>
      </c>
      <c r="H188" s="35" t="s">
        <v>117</v>
      </c>
      <c r="I188" s="35" t="s">
        <v>43</v>
      </c>
      <c r="J188" s="35" t="s">
        <v>357</v>
      </c>
      <c r="K188" s="35" t="s">
        <v>44</v>
      </c>
      <c r="L188" s="35" t="s">
        <v>1018</v>
      </c>
      <c r="M188" s="35" t="s">
        <v>136</v>
      </c>
      <c r="N188" s="35" t="s">
        <v>46</v>
      </c>
      <c r="O188" s="35" t="s">
        <v>139</v>
      </c>
      <c r="P188" s="35" t="s">
        <v>138</v>
      </c>
      <c r="Q188" s="35" t="s">
        <v>48</v>
      </c>
      <c r="R188" s="35" t="s">
        <v>140</v>
      </c>
      <c r="S188" s="36">
        <v>46152</v>
      </c>
      <c r="T188" s="36"/>
      <c r="U188" s="35" t="s">
        <v>141</v>
      </c>
      <c r="V188" s="35" t="s">
        <v>144</v>
      </c>
      <c r="W188" s="35" t="s">
        <v>365</v>
      </c>
      <c r="X188" s="36">
        <v>46179</v>
      </c>
      <c r="Y188" s="35" t="s">
        <v>389</v>
      </c>
    </row>
    <row r="189" spans="1:25">
      <c r="A189" s="35" t="s">
        <v>1019</v>
      </c>
      <c r="B189" s="35" t="s">
        <v>59</v>
      </c>
      <c r="C189" s="35" t="s">
        <v>1020</v>
      </c>
      <c r="D189" s="35" t="s">
        <v>1021</v>
      </c>
      <c r="E189" s="35" t="s">
        <v>681</v>
      </c>
      <c r="F189" s="35" t="s">
        <v>681</v>
      </c>
      <c r="G189" s="35" t="s">
        <v>681</v>
      </c>
      <c r="H189" s="35" t="s">
        <v>1022</v>
      </c>
      <c r="I189" s="35" t="s">
        <v>130</v>
      </c>
      <c r="J189" s="35" t="s">
        <v>393</v>
      </c>
      <c r="K189" s="35" t="s">
        <v>53</v>
      </c>
      <c r="L189" s="35" t="s">
        <v>54</v>
      </c>
      <c r="M189" s="35" t="s">
        <v>55</v>
      </c>
      <c r="N189" s="35" t="s">
        <v>46</v>
      </c>
      <c r="O189" s="35" t="s">
        <v>56</v>
      </c>
      <c r="P189" s="35" t="s">
        <v>139</v>
      </c>
      <c r="Q189" s="35" t="s">
        <v>48</v>
      </c>
      <c r="R189" s="35" t="s">
        <v>137</v>
      </c>
      <c r="S189" s="36">
        <v>46077</v>
      </c>
      <c r="T189" s="36"/>
      <c r="U189" s="35" t="s">
        <v>56</v>
      </c>
      <c r="V189" s="35" t="s">
        <v>148</v>
      </c>
      <c r="W189" s="35" t="s">
        <v>338</v>
      </c>
      <c r="X189" s="36">
        <v>46181</v>
      </c>
      <c r="Y189" s="35" t="s">
        <v>359</v>
      </c>
    </row>
    <row r="190" spans="1:25">
      <c r="A190" s="35" t="s">
        <v>1023</v>
      </c>
      <c r="B190" s="35" t="s">
        <v>63</v>
      </c>
      <c r="C190" s="35" t="s">
        <v>1024</v>
      </c>
      <c r="D190" s="35" t="s">
        <v>1025</v>
      </c>
      <c r="E190" s="35" t="s">
        <v>464</v>
      </c>
      <c r="F190" s="35" t="s">
        <v>464</v>
      </c>
      <c r="G190" s="35" t="s">
        <v>464</v>
      </c>
      <c r="H190" s="35" t="s">
        <v>696</v>
      </c>
      <c r="I190" s="35" t="s">
        <v>130</v>
      </c>
      <c r="J190" s="35" t="s">
        <v>393</v>
      </c>
      <c r="K190" s="35" t="s">
        <v>53</v>
      </c>
      <c r="L190" s="35" t="s">
        <v>54</v>
      </c>
      <c r="M190" s="35" t="s">
        <v>45</v>
      </c>
      <c r="N190" s="35" t="s">
        <v>46</v>
      </c>
      <c r="O190" s="35" t="s">
        <v>47</v>
      </c>
      <c r="P190" s="35" t="s">
        <v>56</v>
      </c>
      <c r="Q190" s="35" t="s">
        <v>58</v>
      </c>
      <c r="R190" s="35" t="s">
        <v>56</v>
      </c>
      <c r="S190" s="36">
        <v>46042</v>
      </c>
      <c r="T190" s="36"/>
      <c r="U190" s="35" t="s">
        <v>56</v>
      </c>
      <c r="V190" s="35" t="s">
        <v>143</v>
      </c>
      <c r="W190" s="35" t="s">
        <v>349</v>
      </c>
      <c r="X190" s="36">
        <v>46177</v>
      </c>
      <c r="Y190" s="35" t="s">
        <v>343</v>
      </c>
    </row>
    <row r="191" spans="1:25">
      <c r="A191" s="35" t="s">
        <v>1026</v>
      </c>
      <c r="B191" s="35" t="s">
        <v>70</v>
      </c>
      <c r="C191" s="35" t="s">
        <v>1027</v>
      </c>
      <c r="D191" s="35" t="s">
        <v>1028</v>
      </c>
      <c r="E191" s="35" t="s">
        <v>506</v>
      </c>
      <c r="F191" s="35" t="s">
        <v>506</v>
      </c>
      <c r="G191" s="35" t="s">
        <v>506</v>
      </c>
      <c r="H191" s="35" t="s">
        <v>106</v>
      </c>
      <c r="I191" s="35" t="s">
        <v>51</v>
      </c>
      <c r="J191" s="35" t="s">
        <v>52</v>
      </c>
      <c r="K191" s="35" t="s">
        <v>53</v>
      </c>
      <c r="L191" s="35" t="s">
        <v>54</v>
      </c>
      <c r="M191" s="35" t="s">
        <v>55</v>
      </c>
      <c r="N191" s="35" t="s">
        <v>46</v>
      </c>
      <c r="O191" s="35" t="s">
        <v>47</v>
      </c>
      <c r="P191" s="35" t="s">
        <v>139</v>
      </c>
      <c r="Q191" s="35" t="s">
        <v>58</v>
      </c>
      <c r="R191" s="35" t="s">
        <v>56</v>
      </c>
      <c r="S191" s="36">
        <v>46157</v>
      </c>
      <c r="T191" s="36"/>
      <c r="U191" s="35" t="s">
        <v>56</v>
      </c>
      <c r="V191" s="35" t="s">
        <v>143</v>
      </c>
      <c r="W191" s="35" t="s">
        <v>338</v>
      </c>
      <c r="X191" s="36">
        <v>46180</v>
      </c>
      <c r="Y191" s="35" t="s">
        <v>343</v>
      </c>
    </row>
    <row r="192" spans="1:25">
      <c r="A192" s="35" t="s">
        <v>1029</v>
      </c>
      <c r="B192" s="35" t="s">
        <v>395</v>
      </c>
      <c r="C192" s="35" t="s">
        <v>1030</v>
      </c>
      <c r="D192" s="35" t="s">
        <v>1031</v>
      </c>
      <c r="E192" s="35" t="s">
        <v>90</v>
      </c>
      <c r="F192" s="35" t="s">
        <v>90</v>
      </c>
      <c r="G192" s="35" t="s">
        <v>90</v>
      </c>
      <c r="H192" s="35" t="s">
        <v>1032</v>
      </c>
      <c r="I192" s="35" t="s">
        <v>51</v>
      </c>
      <c r="J192" s="35" t="s">
        <v>1006</v>
      </c>
      <c r="K192" s="35" t="s">
        <v>53</v>
      </c>
      <c r="L192" s="35" t="s">
        <v>54</v>
      </c>
      <c r="M192" s="35" t="s">
        <v>45</v>
      </c>
      <c r="N192" s="35" t="s">
        <v>46</v>
      </c>
      <c r="O192" s="35" t="s">
        <v>138</v>
      </c>
      <c r="P192" s="35" t="s">
        <v>138</v>
      </c>
      <c r="Q192" s="35" t="s">
        <v>48</v>
      </c>
      <c r="R192" s="35" t="s">
        <v>140</v>
      </c>
      <c r="S192" s="36">
        <v>46048</v>
      </c>
      <c r="T192" s="36"/>
      <c r="U192" s="35" t="s">
        <v>141</v>
      </c>
      <c r="V192" s="35" t="s">
        <v>329</v>
      </c>
      <c r="W192" s="35" t="s">
        <v>330</v>
      </c>
      <c r="X192" s="36">
        <v>46182</v>
      </c>
      <c r="Y192" s="35" t="s">
        <v>331</v>
      </c>
    </row>
    <row r="193" spans="1:25">
      <c r="A193" s="35" t="s">
        <v>1033</v>
      </c>
      <c r="B193" s="35" t="s">
        <v>68</v>
      </c>
      <c r="C193" s="35" t="s">
        <v>1034</v>
      </c>
      <c r="D193" s="35" t="s">
        <v>1035</v>
      </c>
      <c r="E193" s="35" t="s">
        <v>86</v>
      </c>
      <c r="F193" s="35" t="s">
        <v>86</v>
      </c>
      <c r="G193" s="35" t="s">
        <v>86</v>
      </c>
      <c r="H193" s="35" t="s">
        <v>371</v>
      </c>
      <c r="I193" s="35" t="s">
        <v>130</v>
      </c>
      <c r="J193" s="35" t="s">
        <v>575</v>
      </c>
      <c r="K193" s="35" t="s">
        <v>53</v>
      </c>
      <c r="L193" s="35" t="s">
        <v>54</v>
      </c>
      <c r="M193" s="35" t="s">
        <v>45</v>
      </c>
      <c r="N193" s="35" t="s">
        <v>46</v>
      </c>
      <c r="O193" s="35" t="s">
        <v>138</v>
      </c>
      <c r="P193" s="35" t="s">
        <v>138</v>
      </c>
      <c r="Q193" s="35" t="s">
        <v>48</v>
      </c>
      <c r="R193" s="35" t="s">
        <v>140</v>
      </c>
      <c r="S193" s="36">
        <v>46067</v>
      </c>
      <c r="T193" s="36"/>
      <c r="U193" s="35" t="s">
        <v>141</v>
      </c>
      <c r="V193" s="35" t="s">
        <v>329</v>
      </c>
      <c r="W193" s="35" t="s">
        <v>330</v>
      </c>
      <c r="X193" s="36">
        <v>46178</v>
      </c>
      <c r="Y193" s="35" t="s">
        <v>331</v>
      </c>
    </row>
    <row r="194" spans="1:25">
      <c r="A194" s="35" t="s">
        <v>1036</v>
      </c>
      <c r="B194" s="35" t="s">
        <v>68</v>
      </c>
      <c r="C194" s="35" t="s">
        <v>701</v>
      </c>
      <c r="D194" s="35" t="s">
        <v>1037</v>
      </c>
      <c r="E194" s="35" t="s">
        <v>105</v>
      </c>
      <c r="F194" s="35" t="s">
        <v>105</v>
      </c>
      <c r="G194" s="35" t="s">
        <v>1038</v>
      </c>
      <c r="H194" s="35" t="s">
        <v>109</v>
      </c>
      <c r="I194" s="35" t="s">
        <v>132</v>
      </c>
      <c r="J194" s="35" t="s">
        <v>401</v>
      </c>
      <c r="K194" s="35" t="s">
        <v>53</v>
      </c>
      <c r="L194" s="35" t="s">
        <v>54</v>
      </c>
      <c r="M194" s="35" t="s">
        <v>55</v>
      </c>
      <c r="N194" s="35" t="s">
        <v>46</v>
      </c>
      <c r="O194" s="35" t="s">
        <v>138</v>
      </c>
      <c r="P194" s="35" t="s">
        <v>139</v>
      </c>
      <c r="Q194" s="35" t="s">
        <v>48</v>
      </c>
      <c r="R194" s="35" t="s">
        <v>140</v>
      </c>
      <c r="S194" s="36">
        <v>46165</v>
      </c>
      <c r="T194" s="36"/>
      <c r="U194" s="35" t="s">
        <v>141</v>
      </c>
      <c r="V194" s="35" t="s">
        <v>144</v>
      </c>
      <c r="W194" s="35" t="s">
        <v>330</v>
      </c>
      <c r="X194" s="36">
        <v>46176</v>
      </c>
      <c r="Y194" s="35" t="s">
        <v>389</v>
      </c>
    </row>
    <row r="195" spans="1:25">
      <c r="A195" s="35" t="s">
        <v>1039</v>
      </c>
      <c r="B195" s="35" t="s">
        <v>62</v>
      </c>
      <c r="C195" s="35" t="s">
        <v>752</v>
      </c>
      <c r="D195" s="35" t="s">
        <v>1040</v>
      </c>
      <c r="E195" s="35" t="s">
        <v>529</v>
      </c>
      <c r="F195" s="35" t="s">
        <v>529</v>
      </c>
      <c r="G195" s="35" t="s">
        <v>1041</v>
      </c>
      <c r="H195" s="35" t="s">
        <v>1022</v>
      </c>
      <c r="I195" s="35" t="s">
        <v>346</v>
      </c>
      <c r="J195" s="35" t="s">
        <v>347</v>
      </c>
      <c r="K195" s="35" t="s">
        <v>53</v>
      </c>
      <c r="L195" s="35" t="s">
        <v>54</v>
      </c>
      <c r="M195" s="35" t="s">
        <v>45</v>
      </c>
      <c r="N195" s="35" t="s">
        <v>46</v>
      </c>
      <c r="O195" s="35" t="s">
        <v>138</v>
      </c>
      <c r="P195" s="35" t="s">
        <v>138</v>
      </c>
      <c r="Q195" s="35" t="s">
        <v>48</v>
      </c>
      <c r="R195" s="35" t="s">
        <v>140</v>
      </c>
      <c r="S195" s="36">
        <v>46072</v>
      </c>
      <c r="T195" s="36"/>
      <c r="U195" s="35" t="s">
        <v>141</v>
      </c>
      <c r="V195" s="35" t="s">
        <v>144</v>
      </c>
      <c r="W195" s="35" t="s">
        <v>338</v>
      </c>
      <c r="X195" s="36">
        <v>46181</v>
      </c>
      <c r="Y195" s="35" t="s">
        <v>389</v>
      </c>
    </row>
    <row r="196" spans="1:25">
      <c r="A196" s="35" t="s">
        <v>1042</v>
      </c>
      <c r="B196" s="35" t="s">
        <v>361</v>
      </c>
      <c r="C196" s="35" t="s">
        <v>1043</v>
      </c>
      <c r="D196" s="35" t="s">
        <v>1044</v>
      </c>
      <c r="E196" s="35" t="s">
        <v>101</v>
      </c>
      <c r="F196" s="35" t="s">
        <v>101</v>
      </c>
      <c r="G196" s="35" t="s">
        <v>101</v>
      </c>
      <c r="H196" s="35" t="s">
        <v>593</v>
      </c>
      <c r="I196" s="35" t="s">
        <v>346</v>
      </c>
      <c r="J196" s="35" t="s">
        <v>424</v>
      </c>
      <c r="K196" s="35" t="s">
        <v>53</v>
      </c>
      <c r="L196" s="35" t="s">
        <v>54</v>
      </c>
      <c r="M196" s="35" t="s">
        <v>136</v>
      </c>
      <c r="N196" s="35" t="s">
        <v>46</v>
      </c>
      <c r="O196" s="35" t="s">
        <v>139</v>
      </c>
      <c r="P196" s="35" t="s">
        <v>138</v>
      </c>
      <c r="Q196" s="35" t="s">
        <v>48</v>
      </c>
      <c r="R196" s="35" t="s">
        <v>140</v>
      </c>
      <c r="S196" s="36">
        <v>46113</v>
      </c>
      <c r="T196" s="36"/>
      <c r="U196" s="35" t="s">
        <v>141</v>
      </c>
      <c r="V196" s="35" t="s">
        <v>435</v>
      </c>
      <c r="W196" s="35" t="s">
        <v>330</v>
      </c>
      <c r="X196" s="36">
        <v>46183</v>
      </c>
      <c r="Y196" s="35" t="s">
        <v>436</v>
      </c>
    </row>
    <row r="197" spans="1:25">
      <c r="A197" s="35" t="s">
        <v>1045</v>
      </c>
      <c r="B197" s="35" t="s">
        <v>67</v>
      </c>
      <c r="C197" s="35" t="s">
        <v>810</v>
      </c>
      <c r="D197" s="35" t="s">
        <v>1046</v>
      </c>
      <c r="E197" s="35" t="s">
        <v>506</v>
      </c>
      <c r="F197" s="35" t="s">
        <v>506</v>
      </c>
      <c r="G197" s="35" t="s">
        <v>506</v>
      </c>
      <c r="H197" s="35" t="s">
        <v>610</v>
      </c>
      <c r="I197" s="35" t="s">
        <v>51</v>
      </c>
      <c r="J197" s="35" t="s">
        <v>52</v>
      </c>
      <c r="K197" s="35" t="s">
        <v>53</v>
      </c>
      <c r="L197" s="35" t="s">
        <v>54</v>
      </c>
      <c r="M197" s="35" t="s">
        <v>45</v>
      </c>
      <c r="N197" s="35" t="s">
        <v>137</v>
      </c>
      <c r="O197" s="35" t="s">
        <v>57</v>
      </c>
      <c r="P197" s="35" t="s">
        <v>57</v>
      </c>
      <c r="Q197" s="35" t="s">
        <v>58</v>
      </c>
      <c r="R197" s="35" t="s">
        <v>57</v>
      </c>
      <c r="S197" s="36">
        <v>46043</v>
      </c>
      <c r="T197" s="36"/>
      <c r="U197" s="35" t="s">
        <v>56</v>
      </c>
      <c r="V197" s="35" t="s">
        <v>147</v>
      </c>
      <c r="W197" s="35" t="s">
        <v>349</v>
      </c>
      <c r="X197" s="36">
        <v>46185</v>
      </c>
      <c r="Y197" s="35" t="s">
        <v>406</v>
      </c>
    </row>
    <row r="198" spans="1:25">
      <c r="A198" s="35" t="s">
        <v>1047</v>
      </c>
      <c r="B198" s="35" t="s">
        <v>76</v>
      </c>
      <c r="C198" s="35" t="s">
        <v>1048</v>
      </c>
      <c r="D198" s="35" t="s">
        <v>1049</v>
      </c>
      <c r="E198" s="35" t="s">
        <v>96</v>
      </c>
      <c r="F198" s="35" t="s">
        <v>96</v>
      </c>
      <c r="G198" s="35" t="s">
        <v>1049</v>
      </c>
      <c r="H198" s="35" t="s">
        <v>899</v>
      </c>
      <c r="I198" s="35" t="s">
        <v>131</v>
      </c>
      <c r="J198" s="35" t="s">
        <v>342</v>
      </c>
      <c r="K198" s="35" t="s">
        <v>53</v>
      </c>
      <c r="L198" s="35" t="s">
        <v>54</v>
      </c>
      <c r="M198" s="35" t="s">
        <v>55</v>
      </c>
      <c r="N198" s="35" t="s">
        <v>46</v>
      </c>
      <c r="O198" s="35" t="s">
        <v>138</v>
      </c>
      <c r="P198" s="35" t="s">
        <v>139</v>
      </c>
      <c r="Q198" s="35" t="s">
        <v>48</v>
      </c>
      <c r="R198" s="35" t="s">
        <v>140</v>
      </c>
      <c r="S198" s="36">
        <v>46171</v>
      </c>
      <c r="T198" s="36"/>
      <c r="U198" s="35" t="s">
        <v>141</v>
      </c>
      <c r="V198" s="35" t="s">
        <v>412</v>
      </c>
      <c r="W198" s="35" t="s">
        <v>338</v>
      </c>
      <c r="X198" s="36">
        <v>46186</v>
      </c>
      <c r="Y198" s="35" t="s">
        <v>413</v>
      </c>
    </row>
    <row r="199" spans="1:25">
      <c r="A199" s="35" t="s">
        <v>1050</v>
      </c>
      <c r="B199" s="35" t="s">
        <v>62</v>
      </c>
      <c r="C199" s="35" t="s">
        <v>1051</v>
      </c>
      <c r="D199" s="35" t="s">
        <v>1052</v>
      </c>
      <c r="E199" s="35" t="s">
        <v>422</v>
      </c>
      <c r="F199" s="35" t="s">
        <v>422</v>
      </c>
      <c r="G199" s="35" t="s">
        <v>422</v>
      </c>
      <c r="H199" s="35" t="s">
        <v>474</v>
      </c>
      <c r="I199" s="35" t="s">
        <v>131</v>
      </c>
      <c r="J199" s="35" t="s">
        <v>342</v>
      </c>
      <c r="K199" s="35" t="s">
        <v>53</v>
      </c>
      <c r="L199" s="35" t="s">
        <v>54</v>
      </c>
      <c r="M199" s="35" t="s">
        <v>55</v>
      </c>
      <c r="N199" s="35" t="s">
        <v>46</v>
      </c>
      <c r="O199" s="35" t="s">
        <v>47</v>
      </c>
      <c r="P199" s="35" t="s">
        <v>139</v>
      </c>
      <c r="Q199" s="35" t="s">
        <v>48</v>
      </c>
      <c r="R199" s="35" t="s">
        <v>46</v>
      </c>
      <c r="S199" s="36">
        <v>46117</v>
      </c>
      <c r="T199" s="36">
        <v>46130</v>
      </c>
      <c r="U199" s="35" t="s">
        <v>49</v>
      </c>
      <c r="V199" s="35" t="s">
        <v>348</v>
      </c>
      <c r="W199" s="35" t="s">
        <v>349</v>
      </c>
      <c r="X199" s="36">
        <v>46178</v>
      </c>
      <c r="Y199" s="35" t="s">
        <v>350</v>
      </c>
    </row>
    <row r="200" spans="1:25">
      <c r="A200" s="35" t="s">
        <v>1053</v>
      </c>
      <c r="B200" s="35" t="s">
        <v>513</v>
      </c>
      <c r="C200" s="35" t="s">
        <v>1054</v>
      </c>
      <c r="D200" s="35" t="s">
        <v>1055</v>
      </c>
      <c r="E200" s="35" t="s">
        <v>681</v>
      </c>
      <c r="F200" s="35" t="s">
        <v>681</v>
      </c>
      <c r="G200" s="35" t="s">
        <v>681</v>
      </c>
      <c r="H200" s="35" t="s">
        <v>397</v>
      </c>
      <c r="I200" s="35" t="s">
        <v>130</v>
      </c>
      <c r="J200" s="35" t="s">
        <v>721</v>
      </c>
      <c r="K200" s="35" t="s">
        <v>53</v>
      </c>
      <c r="L200" s="35" t="s">
        <v>54</v>
      </c>
      <c r="M200" s="35" t="s">
        <v>45</v>
      </c>
      <c r="N200" s="35" t="s">
        <v>46</v>
      </c>
      <c r="O200" s="35" t="s">
        <v>138</v>
      </c>
      <c r="P200" s="35" t="s">
        <v>138</v>
      </c>
      <c r="Q200" s="35" t="s">
        <v>48</v>
      </c>
      <c r="R200" s="35" t="s">
        <v>140</v>
      </c>
      <c r="S200" s="36">
        <v>46072</v>
      </c>
      <c r="T200" s="36"/>
      <c r="U200" s="35" t="s">
        <v>141</v>
      </c>
      <c r="V200" s="35" t="s">
        <v>329</v>
      </c>
      <c r="W200" s="35" t="s">
        <v>365</v>
      </c>
      <c r="X200" s="36">
        <v>46184</v>
      </c>
      <c r="Y200" s="35" t="s">
        <v>331</v>
      </c>
    </row>
    <row r="201" spans="1:25">
      <c r="A201" s="35" t="s">
        <v>1056</v>
      </c>
      <c r="B201" s="35" t="s">
        <v>77</v>
      </c>
      <c r="C201" s="35" t="s">
        <v>1057</v>
      </c>
      <c r="D201" s="35" t="s">
        <v>1058</v>
      </c>
      <c r="E201" s="35" t="s">
        <v>386</v>
      </c>
      <c r="F201" s="35" t="s">
        <v>386</v>
      </c>
      <c r="G201" s="35" t="s">
        <v>1058</v>
      </c>
      <c r="H201" s="35" t="s">
        <v>812</v>
      </c>
      <c r="I201" s="35" t="s">
        <v>51</v>
      </c>
      <c r="J201" s="35" t="s">
        <v>52</v>
      </c>
      <c r="K201" s="35" t="s">
        <v>53</v>
      </c>
      <c r="L201" s="35" t="s">
        <v>54</v>
      </c>
      <c r="M201" s="35" t="s">
        <v>45</v>
      </c>
      <c r="N201" s="35" t="s">
        <v>46</v>
      </c>
      <c r="O201" s="35" t="s">
        <v>138</v>
      </c>
      <c r="P201" s="35" t="s">
        <v>138</v>
      </c>
      <c r="Q201" s="35" t="s">
        <v>48</v>
      </c>
      <c r="R201" s="35" t="s">
        <v>140</v>
      </c>
      <c r="S201" s="36">
        <v>46173</v>
      </c>
      <c r="T201" s="36"/>
      <c r="U201" s="35" t="s">
        <v>141</v>
      </c>
      <c r="V201" s="35" t="s">
        <v>412</v>
      </c>
      <c r="W201" s="35" t="s">
        <v>338</v>
      </c>
      <c r="X201" s="36">
        <v>46181</v>
      </c>
      <c r="Y201" s="35" t="s">
        <v>413</v>
      </c>
    </row>
    <row r="202" spans="1:25">
      <c r="A202" s="35" t="s">
        <v>1059</v>
      </c>
      <c r="B202" s="35" t="s">
        <v>77</v>
      </c>
      <c r="C202" s="35" t="s">
        <v>1060</v>
      </c>
      <c r="D202" s="35" t="s">
        <v>1061</v>
      </c>
      <c r="E202" s="35" t="s">
        <v>529</v>
      </c>
      <c r="F202" s="35" t="s">
        <v>529</v>
      </c>
      <c r="G202" s="35" t="s">
        <v>529</v>
      </c>
      <c r="H202" s="35" t="s">
        <v>465</v>
      </c>
      <c r="I202" s="35" t="s">
        <v>129</v>
      </c>
      <c r="J202" s="35" t="s">
        <v>134</v>
      </c>
      <c r="K202" s="35" t="s">
        <v>44</v>
      </c>
      <c r="L202" s="35" t="s">
        <v>1062</v>
      </c>
      <c r="M202" s="35" t="s">
        <v>45</v>
      </c>
      <c r="N202" s="35" t="s">
        <v>46</v>
      </c>
      <c r="O202" s="35" t="s">
        <v>47</v>
      </c>
      <c r="P202" s="35" t="s">
        <v>56</v>
      </c>
      <c r="Q202" s="35" t="s">
        <v>58</v>
      </c>
      <c r="R202" s="35" t="s">
        <v>56</v>
      </c>
      <c r="S202" s="36">
        <v>46113</v>
      </c>
      <c r="T202" s="36"/>
      <c r="U202" s="35" t="s">
        <v>56</v>
      </c>
      <c r="V202" s="35" t="s">
        <v>143</v>
      </c>
      <c r="W202" s="35" t="s">
        <v>441</v>
      </c>
      <c r="X202" s="36">
        <v>46179</v>
      </c>
      <c r="Y202" s="35" t="s">
        <v>343</v>
      </c>
    </row>
    <row r="203" spans="1:25">
      <c r="A203" s="35" t="s">
        <v>1063</v>
      </c>
      <c r="B203" s="35" t="s">
        <v>78</v>
      </c>
      <c r="C203" s="35" t="s">
        <v>1064</v>
      </c>
      <c r="D203" s="35" t="s">
        <v>1065</v>
      </c>
      <c r="E203" s="35" t="s">
        <v>381</v>
      </c>
      <c r="F203" s="35" t="s">
        <v>381</v>
      </c>
      <c r="G203" s="35" t="s">
        <v>1017</v>
      </c>
      <c r="H203" s="35" t="s">
        <v>899</v>
      </c>
      <c r="I203" s="35" t="s">
        <v>51</v>
      </c>
      <c r="J203" s="35" t="s">
        <v>52</v>
      </c>
      <c r="K203" s="35" t="s">
        <v>53</v>
      </c>
      <c r="L203" s="35" t="s">
        <v>54</v>
      </c>
      <c r="M203" s="35" t="s">
        <v>45</v>
      </c>
      <c r="N203" s="35" t="s">
        <v>46</v>
      </c>
      <c r="O203" s="35" t="s">
        <v>138</v>
      </c>
      <c r="P203" s="35" t="s">
        <v>138</v>
      </c>
      <c r="Q203" s="35" t="s">
        <v>48</v>
      </c>
      <c r="R203" s="35" t="s">
        <v>140</v>
      </c>
      <c r="S203" s="36">
        <v>46110</v>
      </c>
      <c r="T203" s="36"/>
      <c r="U203" s="35" t="s">
        <v>141</v>
      </c>
      <c r="V203" s="35" t="s">
        <v>144</v>
      </c>
      <c r="W203" s="35" t="s">
        <v>338</v>
      </c>
      <c r="X203" s="36">
        <v>46177</v>
      </c>
      <c r="Y203" s="35" t="s">
        <v>389</v>
      </c>
    </row>
    <row r="204" spans="1:25">
      <c r="A204" s="35" t="s">
        <v>1066</v>
      </c>
      <c r="B204" s="35" t="s">
        <v>375</v>
      </c>
      <c r="C204" s="35" t="s">
        <v>1067</v>
      </c>
      <c r="D204" s="35" t="s">
        <v>1068</v>
      </c>
      <c r="E204" s="35" t="s">
        <v>104</v>
      </c>
      <c r="F204" s="35" t="s">
        <v>104</v>
      </c>
      <c r="G204" s="35" t="s">
        <v>104</v>
      </c>
      <c r="H204" s="35" t="s">
        <v>670</v>
      </c>
      <c r="I204" s="35" t="s">
        <v>132</v>
      </c>
      <c r="J204" s="35" t="s">
        <v>401</v>
      </c>
      <c r="K204" s="35" t="s">
        <v>53</v>
      </c>
      <c r="L204" s="35" t="s">
        <v>54</v>
      </c>
      <c r="M204" s="35" t="s">
        <v>45</v>
      </c>
      <c r="N204" s="35" t="s">
        <v>46</v>
      </c>
      <c r="O204" s="35" t="s">
        <v>47</v>
      </c>
      <c r="P204" s="35" t="s">
        <v>56</v>
      </c>
      <c r="Q204" s="35" t="s">
        <v>58</v>
      </c>
      <c r="R204" s="35" t="s">
        <v>56</v>
      </c>
      <c r="S204" s="36">
        <v>46110</v>
      </c>
      <c r="T204" s="36"/>
      <c r="U204" s="35" t="s">
        <v>56</v>
      </c>
      <c r="V204" s="35" t="s">
        <v>143</v>
      </c>
      <c r="W204" s="35" t="s">
        <v>330</v>
      </c>
      <c r="X204" s="36">
        <v>46187</v>
      </c>
      <c r="Y204" s="35" t="s">
        <v>343</v>
      </c>
    </row>
    <row r="205" spans="1:25">
      <c r="A205" s="35" t="s">
        <v>1069</v>
      </c>
      <c r="B205" s="35" t="s">
        <v>471</v>
      </c>
      <c r="C205" s="35" t="s">
        <v>1070</v>
      </c>
      <c r="D205" s="35" t="s">
        <v>1071</v>
      </c>
      <c r="E205" s="35" t="s">
        <v>98</v>
      </c>
      <c r="F205" s="35" t="s">
        <v>98</v>
      </c>
      <c r="G205" s="35" t="s">
        <v>98</v>
      </c>
      <c r="H205" s="35" t="s">
        <v>122</v>
      </c>
      <c r="I205" s="35" t="s">
        <v>131</v>
      </c>
      <c r="J205" s="35" t="s">
        <v>342</v>
      </c>
      <c r="K205" s="35" t="s">
        <v>53</v>
      </c>
      <c r="L205" s="35" t="s">
        <v>54</v>
      </c>
      <c r="M205" s="35" t="s">
        <v>45</v>
      </c>
      <c r="N205" s="35" t="s">
        <v>46</v>
      </c>
      <c r="O205" s="35" t="s">
        <v>47</v>
      </c>
      <c r="P205" s="35" t="s">
        <v>47</v>
      </c>
      <c r="Q205" s="35" t="s">
        <v>48</v>
      </c>
      <c r="R205" s="35" t="s">
        <v>46</v>
      </c>
      <c r="S205" s="36">
        <v>46174</v>
      </c>
      <c r="T205" s="36">
        <v>46173</v>
      </c>
      <c r="U205" s="35" t="s">
        <v>49</v>
      </c>
      <c r="V205" s="35" t="s">
        <v>348</v>
      </c>
      <c r="W205" s="35" t="s">
        <v>441</v>
      </c>
      <c r="X205" s="36">
        <v>46187</v>
      </c>
      <c r="Y205" s="35" t="s">
        <v>350</v>
      </c>
    </row>
    <row r="206" spans="1:25">
      <c r="A206" s="35" t="s">
        <v>1072</v>
      </c>
      <c r="B206" s="35" t="s">
        <v>61</v>
      </c>
      <c r="C206" s="35" t="s">
        <v>1073</v>
      </c>
      <c r="D206" s="35" t="s">
        <v>1074</v>
      </c>
      <c r="E206" s="35" t="s">
        <v>506</v>
      </c>
      <c r="F206" s="35" t="s">
        <v>506</v>
      </c>
      <c r="G206" s="35" t="s">
        <v>506</v>
      </c>
      <c r="H206" s="35" t="s">
        <v>111</v>
      </c>
      <c r="I206" s="35" t="s">
        <v>129</v>
      </c>
      <c r="J206" s="35" t="s">
        <v>134</v>
      </c>
      <c r="K206" s="35" t="s">
        <v>44</v>
      </c>
      <c r="L206" s="35" t="s">
        <v>1075</v>
      </c>
      <c r="M206" s="35" t="s">
        <v>55</v>
      </c>
      <c r="N206" s="35" t="s">
        <v>137</v>
      </c>
      <c r="O206" s="35" t="s">
        <v>57</v>
      </c>
      <c r="P206" s="35" t="s">
        <v>139</v>
      </c>
      <c r="Q206" s="35" t="s">
        <v>58</v>
      </c>
      <c r="R206" s="35" t="s">
        <v>57</v>
      </c>
      <c r="S206" s="36">
        <v>46172</v>
      </c>
      <c r="T206" s="36"/>
      <c r="U206" s="35" t="s">
        <v>56</v>
      </c>
      <c r="V206" s="35" t="s">
        <v>147</v>
      </c>
      <c r="W206" s="35" t="s">
        <v>365</v>
      </c>
      <c r="X206" s="36">
        <v>46179</v>
      </c>
      <c r="Y206" s="35" t="s">
        <v>406</v>
      </c>
    </row>
    <row r="207" spans="1:25">
      <c r="A207" s="35" t="s">
        <v>1076</v>
      </c>
      <c r="B207" s="35" t="s">
        <v>61</v>
      </c>
      <c r="C207" s="35" t="s">
        <v>1077</v>
      </c>
      <c r="D207" s="35" t="s">
        <v>1078</v>
      </c>
      <c r="E207" s="35" t="s">
        <v>529</v>
      </c>
      <c r="F207" s="35" t="s">
        <v>529</v>
      </c>
      <c r="G207" s="35" t="s">
        <v>529</v>
      </c>
      <c r="H207" s="35" t="s">
        <v>562</v>
      </c>
      <c r="I207" s="35" t="s">
        <v>43</v>
      </c>
      <c r="J207" s="35" t="s">
        <v>357</v>
      </c>
      <c r="K207" s="35" t="s">
        <v>44</v>
      </c>
      <c r="L207" s="35" t="s">
        <v>1079</v>
      </c>
      <c r="M207" s="35" t="s">
        <v>45</v>
      </c>
      <c r="N207" s="35" t="s">
        <v>46</v>
      </c>
      <c r="O207" s="35" t="s">
        <v>47</v>
      </c>
      <c r="P207" s="35" t="s">
        <v>47</v>
      </c>
      <c r="Q207" s="35" t="s">
        <v>48</v>
      </c>
      <c r="R207" s="35" t="s">
        <v>46</v>
      </c>
      <c r="S207" s="36">
        <v>46077</v>
      </c>
      <c r="T207" s="36">
        <v>46090</v>
      </c>
      <c r="U207" s="35" t="s">
        <v>49</v>
      </c>
      <c r="V207" s="35" t="s">
        <v>348</v>
      </c>
      <c r="W207" s="35" t="s">
        <v>349</v>
      </c>
      <c r="X207" s="36">
        <v>46186</v>
      </c>
      <c r="Y207" s="35" t="s">
        <v>350</v>
      </c>
    </row>
    <row r="208" spans="1:25">
      <c r="A208" s="35" t="s">
        <v>1080</v>
      </c>
      <c r="B208" s="35" t="s">
        <v>76</v>
      </c>
      <c r="C208" s="35" t="s">
        <v>1081</v>
      </c>
      <c r="D208" s="35" t="s">
        <v>1082</v>
      </c>
      <c r="E208" s="35" t="s">
        <v>100</v>
      </c>
      <c r="F208" s="35" t="s">
        <v>100</v>
      </c>
      <c r="G208" s="35" t="s">
        <v>100</v>
      </c>
      <c r="H208" s="35" t="s">
        <v>109</v>
      </c>
      <c r="I208" s="35" t="s">
        <v>51</v>
      </c>
      <c r="J208" s="35" t="s">
        <v>52</v>
      </c>
      <c r="K208" s="35" t="s">
        <v>53</v>
      </c>
      <c r="L208" s="35" t="s">
        <v>54</v>
      </c>
      <c r="M208" s="35" t="s">
        <v>136</v>
      </c>
      <c r="N208" s="35" t="s">
        <v>46</v>
      </c>
      <c r="O208" s="35" t="s">
        <v>139</v>
      </c>
      <c r="P208" s="35" t="s">
        <v>47</v>
      </c>
      <c r="Q208" s="35" t="s">
        <v>48</v>
      </c>
      <c r="R208" s="35" t="s">
        <v>46</v>
      </c>
      <c r="S208" s="36">
        <v>46059</v>
      </c>
      <c r="T208" s="36">
        <v>46076</v>
      </c>
      <c r="U208" s="35" t="s">
        <v>49</v>
      </c>
      <c r="V208" s="35" t="s">
        <v>348</v>
      </c>
      <c r="W208" s="35" t="s">
        <v>365</v>
      </c>
      <c r="X208" s="36">
        <v>46185</v>
      </c>
      <c r="Y208" s="35" t="s">
        <v>350</v>
      </c>
    </row>
    <row r="209" spans="1:25">
      <c r="A209" s="35" t="s">
        <v>1083</v>
      </c>
      <c r="B209" s="35" t="s">
        <v>471</v>
      </c>
      <c r="C209" s="35" t="s">
        <v>1084</v>
      </c>
      <c r="D209" s="35" t="s">
        <v>1085</v>
      </c>
      <c r="E209" s="35" t="s">
        <v>93</v>
      </c>
      <c r="F209" s="35" t="s">
        <v>93</v>
      </c>
      <c r="G209" s="35" t="s">
        <v>1085</v>
      </c>
      <c r="H209" s="35" t="s">
        <v>109</v>
      </c>
      <c r="I209" s="35" t="s">
        <v>43</v>
      </c>
      <c r="J209" s="35" t="s">
        <v>357</v>
      </c>
      <c r="K209" s="35" t="s">
        <v>44</v>
      </c>
      <c r="L209" s="35" t="s">
        <v>1086</v>
      </c>
      <c r="M209" s="35" t="s">
        <v>45</v>
      </c>
      <c r="N209" s="35" t="s">
        <v>46</v>
      </c>
      <c r="O209" s="35" t="s">
        <v>138</v>
      </c>
      <c r="P209" s="35" t="s">
        <v>138</v>
      </c>
      <c r="Q209" s="35" t="s">
        <v>48</v>
      </c>
      <c r="R209" s="35" t="s">
        <v>140</v>
      </c>
      <c r="S209" s="36">
        <v>46163</v>
      </c>
      <c r="T209" s="36"/>
      <c r="U209" s="35" t="s">
        <v>141</v>
      </c>
      <c r="V209" s="35" t="s">
        <v>412</v>
      </c>
      <c r="W209" s="35" t="s">
        <v>441</v>
      </c>
      <c r="X209" s="36">
        <v>46178</v>
      </c>
      <c r="Y209" s="35" t="s">
        <v>413</v>
      </c>
    </row>
    <row r="210" spans="1:25">
      <c r="A210" s="35" t="s">
        <v>1087</v>
      </c>
      <c r="B210" s="35" t="s">
        <v>16</v>
      </c>
      <c r="C210" s="35" t="s">
        <v>588</v>
      </c>
      <c r="D210" s="35" t="s">
        <v>1088</v>
      </c>
      <c r="E210" s="35" t="s">
        <v>334</v>
      </c>
      <c r="F210" s="35" t="s">
        <v>334</v>
      </c>
      <c r="G210" s="35" t="s">
        <v>334</v>
      </c>
      <c r="H210" s="35" t="s">
        <v>707</v>
      </c>
      <c r="I210" s="35" t="s">
        <v>43</v>
      </c>
      <c r="J210" s="35" t="s">
        <v>357</v>
      </c>
      <c r="K210" s="35" t="s">
        <v>44</v>
      </c>
      <c r="L210" s="35" t="s">
        <v>1089</v>
      </c>
      <c r="M210" s="35" t="s">
        <v>45</v>
      </c>
      <c r="N210" s="35" t="s">
        <v>46</v>
      </c>
      <c r="O210" s="35" t="s">
        <v>47</v>
      </c>
      <c r="P210" s="35" t="s">
        <v>56</v>
      </c>
      <c r="Q210" s="35" t="s">
        <v>58</v>
      </c>
      <c r="R210" s="35" t="s">
        <v>56</v>
      </c>
      <c r="S210" s="36">
        <v>46153</v>
      </c>
      <c r="T210" s="36"/>
      <c r="U210" s="35" t="s">
        <v>56</v>
      </c>
      <c r="V210" s="35" t="s">
        <v>143</v>
      </c>
      <c r="W210" s="35" t="s">
        <v>338</v>
      </c>
      <c r="X210" s="36">
        <v>46186</v>
      </c>
      <c r="Y210" s="35" t="s">
        <v>343</v>
      </c>
    </row>
    <row r="211" spans="1:25">
      <c r="A211" s="35" t="s">
        <v>1090</v>
      </c>
      <c r="B211" s="35" t="s">
        <v>375</v>
      </c>
      <c r="C211" s="35" t="s">
        <v>1091</v>
      </c>
      <c r="D211" s="35" t="s">
        <v>1092</v>
      </c>
      <c r="E211" s="35" t="s">
        <v>464</v>
      </c>
      <c r="F211" s="35" t="s">
        <v>464</v>
      </c>
      <c r="G211" s="35" t="s">
        <v>464</v>
      </c>
      <c r="H211" s="35" t="s">
        <v>583</v>
      </c>
      <c r="I211" s="35" t="s">
        <v>130</v>
      </c>
      <c r="J211" s="35" t="s">
        <v>575</v>
      </c>
      <c r="K211" s="35" t="s">
        <v>53</v>
      </c>
      <c r="L211" s="35" t="s">
        <v>54</v>
      </c>
      <c r="M211" s="35" t="s">
        <v>136</v>
      </c>
      <c r="N211" s="35" t="s">
        <v>46</v>
      </c>
      <c r="O211" s="35" t="s">
        <v>139</v>
      </c>
      <c r="P211" s="35" t="s">
        <v>138</v>
      </c>
      <c r="Q211" s="35" t="s">
        <v>48</v>
      </c>
      <c r="R211" s="35" t="s">
        <v>140</v>
      </c>
      <c r="S211" s="36">
        <v>46078</v>
      </c>
      <c r="T211" s="36"/>
      <c r="U211" s="35" t="s">
        <v>141</v>
      </c>
      <c r="V211" s="35" t="s">
        <v>435</v>
      </c>
      <c r="W211" s="35" t="s">
        <v>349</v>
      </c>
      <c r="X211" s="36">
        <v>46187</v>
      </c>
      <c r="Y211" s="35" t="s">
        <v>436</v>
      </c>
    </row>
    <row r="212" spans="1:25">
      <c r="A212" s="35" t="s">
        <v>1093</v>
      </c>
      <c r="B212" s="35" t="s">
        <v>78</v>
      </c>
      <c r="C212" s="35" t="s">
        <v>1094</v>
      </c>
      <c r="D212" s="35" t="s">
        <v>1095</v>
      </c>
      <c r="E212" s="35" t="s">
        <v>103</v>
      </c>
      <c r="F212" s="35" t="s">
        <v>103</v>
      </c>
      <c r="G212" s="35" t="s">
        <v>103</v>
      </c>
      <c r="H212" s="35" t="s">
        <v>847</v>
      </c>
      <c r="I212" s="35" t="s">
        <v>132</v>
      </c>
      <c r="J212" s="35" t="s">
        <v>401</v>
      </c>
      <c r="K212" s="35" t="s">
        <v>53</v>
      </c>
      <c r="L212" s="35" t="s">
        <v>54</v>
      </c>
      <c r="M212" s="35" t="s">
        <v>136</v>
      </c>
      <c r="N212" s="35" t="s">
        <v>137</v>
      </c>
      <c r="O212" s="35" t="s">
        <v>139</v>
      </c>
      <c r="P212" s="35" t="s">
        <v>57</v>
      </c>
      <c r="Q212" s="35" t="s">
        <v>58</v>
      </c>
      <c r="R212" s="35" t="s">
        <v>57</v>
      </c>
      <c r="S212" s="36">
        <v>46086</v>
      </c>
      <c r="T212" s="36"/>
      <c r="U212" s="35" t="s">
        <v>56</v>
      </c>
      <c r="V212" s="35" t="s">
        <v>147</v>
      </c>
      <c r="W212" s="35" t="s">
        <v>338</v>
      </c>
      <c r="X212" s="36">
        <v>46178</v>
      </c>
      <c r="Y212" s="35" t="s">
        <v>406</v>
      </c>
    </row>
    <row r="213" spans="1:25">
      <c r="A213" s="35" t="s">
        <v>1096</v>
      </c>
      <c r="B213" s="35" t="s">
        <v>403</v>
      </c>
      <c r="C213" s="35" t="s">
        <v>1097</v>
      </c>
      <c r="D213" s="35" t="s">
        <v>1098</v>
      </c>
      <c r="E213" s="35" t="s">
        <v>102</v>
      </c>
      <c r="F213" s="35" t="s">
        <v>102</v>
      </c>
      <c r="G213" s="35" t="s">
        <v>102</v>
      </c>
      <c r="H213" s="35" t="s">
        <v>42</v>
      </c>
      <c r="I213" s="35" t="s">
        <v>43</v>
      </c>
      <c r="J213" s="35" t="s">
        <v>357</v>
      </c>
      <c r="K213" s="35" t="s">
        <v>44</v>
      </c>
      <c r="L213" s="35" t="s">
        <v>1099</v>
      </c>
      <c r="M213" s="35" t="s">
        <v>136</v>
      </c>
      <c r="N213" s="35" t="s">
        <v>46</v>
      </c>
      <c r="O213" s="35" t="s">
        <v>139</v>
      </c>
      <c r="P213" s="35" t="s">
        <v>47</v>
      </c>
      <c r="Q213" s="35" t="s">
        <v>48</v>
      </c>
      <c r="R213" s="35" t="s">
        <v>46</v>
      </c>
      <c r="S213" s="36">
        <v>46072</v>
      </c>
      <c r="T213" s="36">
        <v>46086</v>
      </c>
      <c r="U213" s="35" t="s">
        <v>49</v>
      </c>
      <c r="V213" s="35" t="s">
        <v>348</v>
      </c>
      <c r="W213" s="35" t="s">
        <v>365</v>
      </c>
      <c r="X213" s="36">
        <v>46181</v>
      </c>
      <c r="Y213" s="35" t="s">
        <v>350</v>
      </c>
    </row>
    <row r="214" spans="1:25">
      <c r="A214" s="35" t="s">
        <v>1100</v>
      </c>
      <c r="B214" s="35" t="s">
        <v>65</v>
      </c>
      <c r="C214" s="35" t="s">
        <v>1101</v>
      </c>
      <c r="D214" s="35" t="s">
        <v>1102</v>
      </c>
      <c r="E214" s="35" t="s">
        <v>550</v>
      </c>
      <c r="F214" s="35" t="s">
        <v>550</v>
      </c>
      <c r="G214" s="35" t="s">
        <v>550</v>
      </c>
      <c r="H214" s="35" t="s">
        <v>457</v>
      </c>
      <c r="I214" s="35" t="s">
        <v>132</v>
      </c>
      <c r="J214" s="35" t="s">
        <v>401</v>
      </c>
      <c r="K214" s="35" t="s">
        <v>53</v>
      </c>
      <c r="L214" s="35" t="s">
        <v>54</v>
      </c>
      <c r="M214" s="35" t="s">
        <v>136</v>
      </c>
      <c r="N214" s="35" t="s">
        <v>46</v>
      </c>
      <c r="O214" s="35" t="s">
        <v>139</v>
      </c>
      <c r="P214" s="35" t="s">
        <v>56</v>
      </c>
      <c r="Q214" s="35" t="s">
        <v>58</v>
      </c>
      <c r="R214" s="35" t="s">
        <v>56</v>
      </c>
      <c r="S214" s="36">
        <v>46039</v>
      </c>
      <c r="T214" s="36"/>
      <c r="U214" s="35" t="s">
        <v>56</v>
      </c>
      <c r="V214" s="35" t="s">
        <v>143</v>
      </c>
      <c r="W214" s="35" t="s">
        <v>441</v>
      </c>
      <c r="X214" s="36">
        <v>46180</v>
      </c>
      <c r="Y214" s="35" t="s">
        <v>343</v>
      </c>
    </row>
    <row r="215" spans="1:25">
      <c r="A215" s="35" t="s">
        <v>1103</v>
      </c>
      <c r="B215" s="35" t="s">
        <v>59</v>
      </c>
      <c r="C215" s="35" t="s">
        <v>1104</v>
      </c>
      <c r="D215" s="35" t="s">
        <v>1105</v>
      </c>
      <c r="E215" s="35" t="s">
        <v>101</v>
      </c>
      <c r="F215" s="35" t="s">
        <v>101</v>
      </c>
      <c r="G215" s="35" t="s">
        <v>1106</v>
      </c>
      <c r="H215" s="35" t="s">
        <v>593</v>
      </c>
      <c r="I215" s="35" t="s">
        <v>129</v>
      </c>
      <c r="J215" s="35" t="s">
        <v>134</v>
      </c>
      <c r="K215" s="35" t="s">
        <v>44</v>
      </c>
      <c r="L215" s="35" t="s">
        <v>1107</v>
      </c>
      <c r="M215" s="35" t="s">
        <v>136</v>
      </c>
      <c r="N215" s="35" t="s">
        <v>46</v>
      </c>
      <c r="O215" s="35" t="s">
        <v>139</v>
      </c>
      <c r="P215" s="35" t="s">
        <v>138</v>
      </c>
      <c r="Q215" s="35" t="s">
        <v>48</v>
      </c>
      <c r="R215" s="35" t="s">
        <v>140</v>
      </c>
      <c r="S215" s="36">
        <v>46067</v>
      </c>
      <c r="T215" s="36"/>
      <c r="U215" s="35" t="s">
        <v>141</v>
      </c>
      <c r="V215" s="35" t="s">
        <v>144</v>
      </c>
      <c r="W215" s="35" t="s">
        <v>441</v>
      </c>
      <c r="X215" s="36">
        <v>46186</v>
      </c>
      <c r="Y215" s="35" t="s">
        <v>389</v>
      </c>
    </row>
    <row r="216" spans="1:25">
      <c r="A216" s="35" t="s">
        <v>1108</v>
      </c>
      <c r="B216" s="35" t="s">
        <v>75</v>
      </c>
      <c r="C216" s="35" t="s">
        <v>1109</v>
      </c>
      <c r="D216" s="35" t="s">
        <v>1110</v>
      </c>
      <c r="E216" s="35" t="s">
        <v>90</v>
      </c>
      <c r="F216" s="35" t="s">
        <v>90</v>
      </c>
      <c r="G216" s="35" t="s">
        <v>90</v>
      </c>
      <c r="H216" s="35" t="s">
        <v>649</v>
      </c>
      <c r="I216" s="35" t="s">
        <v>130</v>
      </c>
      <c r="J216" s="35" t="s">
        <v>575</v>
      </c>
      <c r="K216" s="35" t="s">
        <v>53</v>
      </c>
      <c r="L216" s="35" t="s">
        <v>54</v>
      </c>
      <c r="M216" s="35" t="s">
        <v>55</v>
      </c>
      <c r="N216" s="35" t="s">
        <v>46</v>
      </c>
      <c r="O216" s="35" t="s">
        <v>138</v>
      </c>
      <c r="P216" s="35" t="s">
        <v>139</v>
      </c>
      <c r="Q216" s="35" t="s">
        <v>48</v>
      </c>
      <c r="R216" s="35" t="s">
        <v>140</v>
      </c>
      <c r="S216" s="36">
        <v>46143</v>
      </c>
      <c r="T216" s="36"/>
      <c r="U216" s="35" t="s">
        <v>141</v>
      </c>
      <c r="V216" s="35" t="s">
        <v>329</v>
      </c>
      <c r="W216" s="35" t="s">
        <v>338</v>
      </c>
      <c r="X216" s="36">
        <v>46187</v>
      </c>
      <c r="Y216" s="35" t="s">
        <v>331</v>
      </c>
    </row>
    <row r="217" spans="1:25">
      <c r="A217" s="35" t="s">
        <v>1111</v>
      </c>
      <c r="B217" s="35" t="s">
        <v>391</v>
      </c>
      <c r="C217" s="35" t="s">
        <v>1112</v>
      </c>
      <c r="D217" s="35" t="s">
        <v>1113</v>
      </c>
      <c r="E217" s="35" t="s">
        <v>456</v>
      </c>
      <c r="F217" s="35" t="s">
        <v>456</v>
      </c>
      <c r="G217" s="35" t="s">
        <v>456</v>
      </c>
      <c r="H217" s="35" t="s">
        <v>356</v>
      </c>
      <c r="I217" s="35" t="s">
        <v>132</v>
      </c>
      <c r="J217" s="35" t="s">
        <v>401</v>
      </c>
      <c r="K217" s="35" t="s">
        <v>53</v>
      </c>
      <c r="L217" s="35" t="s">
        <v>54</v>
      </c>
      <c r="M217" s="35" t="s">
        <v>55</v>
      </c>
      <c r="N217" s="35" t="s">
        <v>46</v>
      </c>
      <c r="O217" s="35" t="s">
        <v>47</v>
      </c>
      <c r="P217" s="35" t="s">
        <v>139</v>
      </c>
      <c r="Q217" s="35" t="s">
        <v>48</v>
      </c>
      <c r="R217" s="35" t="s">
        <v>46</v>
      </c>
      <c r="S217" s="36">
        <v>46057</v>
      </c>
      <c r="T217" s="36">
        <v>46072</v>
      </c>
      <c r="U217" s="35" t="s">
        <v>49</v>
      </c>
      <c r="V217" s="35" t="s">
        <v>348</v>
      </c>
      <c r="W217" s="35" t="s">
        <v>338</v>
      </c>
      <c r="X217" s="36">
        <v>46183</v>
      </c>
      <c r="Y217" s="35" t="s">
        <v>350</v>
      </c>
    </row>
    <row r="218" spans="1:25">
      <c r="A218" s="35" t="s">
        <v>1114</v>
      </c>
      <c r="B218" s="35" t="s">
        <v>60</v>
      </c>
      <c r="C218" s="35" t="s">
        <v>1115</v>
      </c>
      <c r="D218" s="35" t="s">
        <v>1116</v>
      </c>
      <c r="E218" s="35" t="s">
        <v>85</v>
      </c>
      <c r="F218" s="35" t="s">
        <v>85</v>
      </c>
      <c r="G218" s="35" t="s">
        <v>1116</v>
      </c>
      <c r="H218" s="35" t="s">
        <v>397</v>
      </c>
      <c r="I218" s="35" t="s">
        <v>132</v>
      </c>
      <c r="J218" s="35" t="s">
        <v>401</v>
      </c>
      <c r="K218" s="35" t="s">
        <v>53</v>
      </c>
      <c r="L218" s="35" t="s">
        <v>54</v>
      </c>
      <c r="M218" s="35" t="s">
        <v>45</v>
      </c>
      <c r="N218" s="35" t="s">
        <v>46</v>
      </c>
      <c r="O218" s="35" t="s">
        <v>138</v>
      </c>
      <c r="P218" s="35" t="s">
        <v>138</v>
      </c>
      <c r="Q218" s="35" t="s">
        <v>48</v>
      </c>
      <c r="R218" s="35" t="s">
        <v>140</v>
      </c>
      <c r="S218" s="36">
        <v>46174</v>
      </c>
      <c r="T218" s="36"/>
      <c r="U218" s="35" t="s">
        <v>141</v>
      </c>
      <c r="V218" s="35" t="s">
        <v>412</v>
      </c>
      <c r="W218" s="35" t="s">
        <v>365</v>
      </c>
      <c r="X218" s="36">
        <v>46178</v>
      </c>
      <c r="Y218" s="35" t="s">
        <v>413</v>
      </c>
    </row>
    <row r="219" spans="1:25">
      <c r="A219" s="35" t="s">
        <v>1117</v>
      </c>
      <c r="B219" s="35" t="s">
        <v>395</v>
      </c>
      <c r="C219" s="35" t="s">
        <v>1118</v>
      </c>
      <c r="D219" s="35" t="s">
        <v>1119</v>
      </c>
      <c r="E219" s="35" t="s">
        <v>89</v>
      </c>
      <c r="F219" s="35" t="s">
        <v>89</v>
      </c>
      <c r="G219" s="35" t="s">
        <v>1120</v>
      </c>
      <c r="H219" s="35" t="s">
        <v>598</v>
      </c>
      <c r="I219" s="35" t="s">
        <v>131</v>
      </c>
      <c r="J219" s="35" t="s">
        <v>342</v>
      </c>
      <c r="K219" s="35" t="s">
        <v>53</v>
      </c>
      <c r="L219" s="35" t="s">
        <v>54</v>
      </c>
      <c r="M219" s="35" t="s">
        <v>55</v>
      </c>
      <c r="N219" s="35" t="s">
        <v>46</v>
      </c>
      <c r="O219" s="35" t="s">
        <v>138</v>
      </c>
      <c r="P219" s="35" t="s">
        <v>139</v>
      </c>
      <c r="Q219" s="35" t="s">
        <v>48</v>
      </c>
      <c r="R219" s="35" t="s">
        <v>140</v>
      </c>
      <c r="S219" s="36">
        <v>46167</v>
      </c>
      <c r="T219" s="36"/>
      <c r="U219" s="35" t="s">
        <v>141</v>
      </c>
      <c r="V219" s="35" t="s">
        <v>144</v>
      </c>
      <c r="W219" s="35" t="s">
        <v>330</v>
      </c>
      <c r="X219" s="36">
        <v>46183</v>
      </c>
      <c r="Y219" s="35" t="s">
        <v>389</v>
      </c>
    </row>
    <row r="220" spans="1:25">
      <c r="A220" s="35" t="s">
        <v>1121</v>
      </c>
      <c r="B220" s="35" t="s">
        <v>62</v>
      </c>
      <c r="C220" s="35" t="s">
        <v>1122</v>
      </c>
      <c r="D220" s="35" t="s">
        <v>1123</v>
      </c>
      <c r="E220" s="35" t="s">
        <v>427</v>
      </c>
      <c r="F220" s="35" t="s">
        <v>427</v>
      </c>
      <c r="G220" s="35" t="s">
        <v>1123</v>
      </c>
      <c r="H220" s="35" t="s">
        <v>371</v>
      </c>
      <c r="I220" s="35" t="s">
        <v>346</v>
      </c>
      <c r="J220" s="35" t="s">
        <v>347</v>
      </c>
      <c r="K220" s="35" t="s">
        <v>53</v>
      </c>
      <c r="L220" s="35" t="s">
        <v>54</v>
      </c>
      <c r="M220" s="35" t="s">
        <v>55</v>
      </c>
      <c r="N220" s="35" t="s">
        <v>46</v>
      </c>
      <c r="O220" s="35" t="s">
        <v>138</v>
      </c>
      <c r="P220" s="35" t="s">
        <v>139</v>
      </c>
      <c r="Q220" s="35" t="s">
        <v>48</v>
      </c>
      <c r="R220" s="35" t="s">
        <v>140</v>
      </c>
      <c r="S220" s="36">
        <v>46115</v>
      </c>
      <c r="T220" s="36"/>
      <c r="U220" s="35" t="s">
        <v>141</v>
      </c>
      <c r="V220" s="35" t="s">
        <v>412</v>
      </c>
      <c r="W220" s="35" t="s">
        <v>330</v>
      </c>
      <c r="X220" s="36">
        <v>46187</v>
      </c>
      <c r="Y220" s="35" t="s">
        <v>413</v>
      </c>
    </row>
    <row r="221" spans="1:25">
      <c r="A221" s="35" t="s">
        <v>1124</v>
      </c>
      <c r="B221" s="35" t="s">
        <v>65</v>
      </c>
      <c r="C221" s="35" t="s">
        <v>1125</v>
      </c>
      <c r="D221" s="35" t="s">
        <v>1126</v>
      </c>
      <c r="E221" s="35" t="s">
        <v>95</v>
      </c>
      <c r="F221" s="35" t="s">
        <v>95</v>
      </c>
      <c r="G221" s="35" t="s">
        <v>1126</v>
      </c>
      <c r="H221" s="35" t="s">
        <v>113</v>
      </c>
      <c r="I221" s="35" t="s">
        <v>346</v>
      </c>
      <c r="J221" s="35" t="s">
        <v>347</v>
      </c>
      <c r="K221" s="35" t="s">
        <v>53</v>
      </c>
      <c r="L221" s="35" t="s">
        <v>54</v>
      </c>
      <c r="M221" s="35" t="s">
        <v>55</v>
      </c>
      <c r="N221" s="35" t="s">
        <v>46</v>
      </c>
      <c r="O221" s="35" t="s">
        <v>138</v>
      </c>
      <c r="P221" s="35" t="s">
        <v>139</v>
      </c>
      <c r="Q221" s="35" t="s">
        <v>48</v>
      </c>
      <c r="R221" s="35" t="s">
        <v>140</v>
      </c>
      <c r="S221" s="36">
        <v>46053</v>
      </c>
      <c r="T221" s="36"/>
      <c r="U221" s="35" t="s">
        <v>141</v>
      </c>
      <c r="V221" s="35" t="s">
        <v>412</v>
      </c>
      <c r="W221" s="35" t="s">
        <v>330</v>
      </c>
      <c r="X221" s="36">
        <v>46184</v>
      </c>
      <c r="Y221" s="35" t="s">
        <v>413</v>
      </c>
    </row>
    <row r="222" spans="1:25">
      <c r="A222" s="35" t="s">
        <v>1127</v>
      </c>
      <c r="B222" s="35" t="s">
        <v>471</v>
      </c>
      <c r="C222" s="35" t="s">
        <v>1128</v>
      </c>
      <c r="D222" s="35" t="s">
        <v>1129</v>
      </c>
      <c r="E222" s="35" t="s">
        <v>100</v>
      </c>
      <c r="F222" s="35" t="s">
        <v>100</v>
      </c>
      <c r="G222" s="35" t="s">
        <v>100</v>
      </c>
      <c r="H222" s="35" t="s">
        <v>899</v>
      </c>
      <c r="I222" s="35" t="s">
        <v>130</v>
      </c>
      <c r="J222" s="35" t="s">
        <v>393</v>
      </c>
      <c r="K222" s="35" t="s">
        <v>53</v>
      </c>
      <c r="L222" s="35" t="s">
        <v>54</v>
      </c>
      <c r="M222" s="35" t="s">
        <v>55</v>
      </c>
      <c r="N222" s="35" t="s">
        <v>46</v>
      </c>
      <c r="O222" s="35" t="s">
        <v>47</v>
      </c>
      <c r="P222" s="35" t="s">
        <v>139</v>
      </c>
      <c r="Q222" s="35" t="s">
        <v>48</v>
      </c>
      <c r="R222" s="35" t="s">
        <v>46</v>
      </c>
      <c r="S222" s="36">
        <v>46144</v>
      </c>
      <c r="T222" s="36">
        <v>46156</v>
      </c>
      <c r="U222" s="35" t="s">
        <v>49</v>
      </c>
      <c r="V222" s="35" t="s">
        <v>348</v>
      </c>
      <c r="W222" s="35" t="s">
        <v>349</v>
      </c>
      <c r="X222" s="36">
        <v>46182</v>
      </c>
      <c r="Y222" s="35" t="s">
        <v>350</v>
      </c>
    </row>
    <row r="223" spans="1:25">
      <c r="A223" s="35" t="s">
        <v>1130</v>
      </c>
      <c r="B223" s="35" t="s">
        <v>69</v>
      </c>
      <c r="C223" s="35" t="s">
        <v>1131</v>
      </c>
      <c r="D223" s="35" t="s">
        <v>1132</v>
      </c>
      <c r="E223" s="35" t="s">
        <v>456</v>
      </c>
      <c r="F223" s="35" t="s">
        <v>456</v>
      </c>
      <c r="G223" s="35" t="s">
        <v>456</v>
      </c>
      <c r="H223" s="35" t="s">
        <v>371</v>
      </c>
      <c r="I223" s="35" t="s">
        <v>132</v>
      </c>
      <c r="J223" s="35" t="s">
        <v>401</v>
      </c>
      <c r="K223" s="35" t="s">
        <v>53</v>
      </c>
      <c r="L223" s="35" t="s">
        <v>54</v>
      </c>
      <c r="M223" s="35" t="s">
        <v>45</v>
      </c>
      <c r="N223" s="35" t="s">
        <v>137</v>
      </c>
      <c r="O223" s="35" t="s">
        <v>57</v>
      </c>
      <c r="P223" s="35" t="s">
        <v>57</v>
      </c>
      <c r="Q223" s="35" t="s">
        <v>58</v>
      </c>
      <c r="R223" s="35" t="s">
        <v>57</v>
      </c>
      <c r="S223" s="36">
        <v>46126</v>
      </c>
      <c r="T223" s="36"/>
      <c r="U223" s="35" t="s">
        <v>56</v>
      </c>
      <c r="V223" s="35" t="s">
        <v>147</v>
      </c>
      <c r="W223" s="35" t="s">
        <v>365</v>
      </c>
      <c r="X223" s="36">
        <v>46177</v>
      </c>
      <c r="Y223" s="35" t="s">
        <v>406</v>
      </c>
    </row>
    <row r="224" spans="1:25">
      <c r="A224" s="35" t="s">
        <v>1133</v>
      </c>
      <c r="B224" s="35" t="s">
        <v>72</v>
      </c>
      <c r="C224" s="35" t="s">
        <v>421</v>
      </c>
      <c r="D224" s="35" t="s">
        <v>1134</v>
      </c>
      <c r="E224" s="35" t="s">
        <v>96</v>
      </c>
      <c r="F224" s="35" t="s">
        <v>96</v>
      </c>
      <c r="G224" s="35" t="s">
        <v>96</v>
      </c>
      <c r="H224" s="35" t="s">
        <v>382</v>
      </c>
      <c r="I224" s="35" t="s">
        <v>132</v>
      </c>
      <c r="J224" s="35" t="s">
        <v>401</v>
      </c>
      <c r="K224" s="35" t="s">
        <v>53</v>
      </c>
      <c r="L224" s="35" t="s">
        <v>54</v>
      </c>
      <c r="M224" s="35" t="s">
        <v>55</v>
      </c>
      <c r="N224" s="35" t="s">
        <v>46</v>
      </c>
      <c r="O224" s="35" t="s">
        <v>47</v>
      </c>
      <c r="P224" s="35" t="s">
        <v>139</v>
      </c>
      <c r="Q224" s="35" t="s">
        <v>48</v>
      </c>
      <c r="R224" s="35" t="s">
        <v>46</v>
      </c>
      <c r="S224" s="36">
        <v>46113</v>
      </c>
      <c r="T224" s="36">
        <v>46127</v>
      </c>
      <c r="U224" s="35" t="s">
        <v>49</v>
      </c>
      <c r="V224" s="35" t="s">
        <v>348</v>
      </c>
      <c r="W224" s="35" t="s">
        <v>338</v>
      </c>
      <c r="X224" s="36">
        <v>46186</v>
      </c>
      <c r="Y224" s="35" t="s">
        <v>350</v>
      </c>
    </row>
    <row r="225" spans="1:25">
      <c r="A225" s="35" t="s">
        <v>1135</v>
      </c>
      <c r="B225" s="35" t="s">
        <v>73</v>
      </c>
      <c r="C225" s="35" t="s">
        <v>1136</v>
      </c>
      <c r="D225" s="35" t="s">
        <v>1137</v>
      </c>
      <c r="E225" s="35" t="s">
        <v>96</v>
      </c>
      <c r="F225" s="35" t="s">
        <v>96</v>
      </c>
      <c r="G225" s="35" t="s">
        <v>96</v>
      </c>
      <c r="H225" s="35" t="s">
        <v>555</v>
      </c>
      <c r="I225" s="35" t="s">
        <v>129</v>
      </c>
      <c r="J225" s="35" t="s">
        <v>134</v>
      </c>
      <c r="K225" s="35" t="s">
        <v>44</v>
      </c>
      <c r="L225" s="35" t="s">
        <v>1138</v>
      </c>
      <c r="M225" s="35" t="s">
        <v>45</v>
      </c>
      <c r="N225" s="35" t="s">
        <v>46</v>
      </c>
      <c r="O225" s="35" t="s">
        <v>47</v>
      </c>
      <c r="P225" s="35" t="s">
        <v>47</v>
      </c>
      <c r="Q225" s="35" t="s">
        <v>48</v>
      </c>
      <c r="R225" s="35" t="s">
        <v>46</v>
      </c>
      <c r="S225" s="36">
        <v>46085</v>
      </c>
      <c r="T225" s="36">
        <v>46103</v>
      </c>
      <c r="U225" s="35" t="s">
        <v>49</v>
      </c>
      <c r="V225" s="35" t="s">
        <v>348</v>
      </c>
      <c r="W225" s="35" t="s">
        <v>330</v>
      </c>
      <c r="X225" s="36">
        <v>46177</v>
      </c>
      <c r="Y225" s="35" t="s">
        <v>350</v>
      </c>
    </row>
    <row r="226" spans="1:25">
      <c r="A226" s="35" t="s">
        <v>1139</v>
      </c>
      <c r="B226" s="35" t="s">
        <v>75</v>
      </c>
      <c r="C226" s="35" t="s">
        <v>1140</v>
      </c>
      <c r="D226" s="35" t="s">
        <v>1141</v>
      </c>
      <c r="E226" s="35" t="s">
        <v>95</v>
      </c>
      <c r="F226" s="35" t="s">
        <v>95</v>
      </c>
      <c r="G226" s="35" t="s">
        <v>95</v>
      </c>
      <c r="H226" s="35" t="s">
        <v>847</v>
      </c>
      <c r="I226" s="35" t="s">
        <v>43</v>
      </c>
      <c r="J226" s="35" t="s">
        <v>357</v>
      </c>
      <c r="K226" s="35" t="s">
        <v>44</v>
      </c>
      <c r="L226" s="35" t="s">
        <v>1142</v>
      </c>
      <c r="M226" s="35" t="s">
        <v>55</v>
      </c>
      <c r="N226" s="35" t="s">
        <v>46</v>
      </c>
      <c r="O226" s="35" t="s">
        <v>47</v>
      </c>
      <c r="P226" s="35" t="s">
        <v>139</v>
      </c>
      <c r="Q226" s="35" t="s">
        <v>48</v>
      </c>
      <c r="R226" s="35" t="s">
        <v>46</v>
      </c>
      <c r="S226" s="36">
        <v>46049</v>
      </c>
      <c r="T226" s="36">
        <v>46059</v>
      </c>
      <c r="U226" s="35" t="s">
        <v>49</v>
      </c>
      <c r="V226" s="35" t="s">
        <v>348</v>
      </c>
      <c r="W226" s="35" t="s">
        <v>330</v>
      </c>
      <c r="X226" s="36">
        <v>46187</v>
      </c>
      <c r="Y226" s="35" t="s">
        <v>350</v>
      </c>
    </row>
    <row r="227" spans="1:25">
      <c r="A227" s="35" t="s">
        <v>1143</v>
      </c>
      <c r="B227" s="35" t="s">
        <v>70</v>
      </c>
      <c r="C227" s="35" t="s">
        <v>1144</v>
      </c>
      <c r="D227" s="35" t="s">
        <v>1145</v>
      </c>
      <c r="E227" s="35" t="s">
        <v>95</v>
      </c>
      <c r="F227" s="35" t="s">
        <v>95</v>
      </c>
      <c r="G227" s="35" t="s">
        <v>95</v>
      </c>
      <c r="H227" s="35" t="s">
        <v>1022</v>
      </c>
      <c r="I227" s="35" t="s">
        <v>132</v>
      </c>
      <c r="J227" s="35" t="s">
        <v>401</v>
      </c>
      <c r="K227" s="35" t="s">
        <v>53</v>
      </c>
      <c r="L227" s="35" t="s">
        <v>54</v>
      </c>
      <c r="M227" s="35" t="s">
        <v>45</v>
      </c>
      <c r="N227" s="35" t="s">
        <v>46</v>
      </c>
      <c r="O227" s="35" t="s">
        <v>47</v>
      </c>
      <c r="P227" s="35" t="s">
        <v>47</v>
      </c>
      <c r="Q227" s="35" t="s">
        <v>48</v>
      </c>
      <c r="R227" s="35" t="s">
        <v>46</v>
      </c>
      <c r="S227" s="36">
        <v>46165</v>
      </c>
      <c r="T227" s="36">
        <v>46176</v>
      </c>
      <c r="U227" s="35" t="s">
        <v>49</v>
      </c>
      <c r="V227" s="35" t="s">
        <v>348</v>
      </c>
      <c r="W227" s="35" t="s">
        <v>338</v>
      </c>
      <c r="X227" s="36">
        <v>46179</v>
      </c>
      <c r="Y227" s="35" t="s">
        <v>350</v>
      </c>
    </row>
    <row r="228" spans="1:25">
      <c r="A228" s="35" t="s">
        <v>1146</v>
      </c>
      <c r="B228" s="35" t="s">
        <v>74</v>
      </c>
      <c r="C228" s="35" t="s">
        <v>1147</v>
      </c>
      <c r="D228" s="35" t="s">
        <v>1148</v>
      </c>
      <c r="E228" s="35" t="s">
        <v>478</v>
      </c>
      <c r="F228" s="35" t="s">
        <v>478</v>
      </c>
      <c r="G228" s="35" t="s">
        <v>478</v>
      </c>
      <c r="H228" s="35" t="s">
        <v>742</v>
      </c>
      <c r="I228" s="35" t="s">
        <v>132</v>
      </c>
      <c r="J228" s="35" t="s">
        <v>401</v>
      </c>
      <c r="K228" s="35" t="s">
        <v>53</v>
      </c>
      <c r="L228" s="35" t="s">
        <v>54</v>
      </c>
      <c r="M228" s="35" t="s">
        <v>136</v>
      </c>
      <c r="N228" s="35" t="s">
        <v>46</v>
      </c>
      <c r="O228" s="35" t="s">
        <v>139</v>
      </c>
      <c r="P228" s="35" t="s">
        <v>56</v>
      </c>
      <c r="Q228" s="35" t="s">
        <v>58</v>
      </c>
      <c r="R228" s="35" t="s">
        <v>56</v>
      </c>
      <c r="S228" s="36">
        <v>46073</v>
      </c>
      <c r="T228" s="36"/>
      <c r="U228" s="35" t="s">
        <v>56</v>
      </c>
      <c r="V228" s="35" t="s">
        <v>143</v>
      </c>
      <c r="W228" s="35" t="s">
        <v>338</v>
      </c>
      <c r="X228" s="36">
        <v>46186</v>
      </c>
      <c r="Y228" s="35" t="s">
        <v>343</v>
      </c>
    </row>
    <row r="229" spans="1:25">
      <c r="A229" s="35" t="s">
        <v>1149</v>
      </c>
      <c r="B229" s="35" t="s">
        <v>513</v>
      </c>
      <c r="C229" s="35" t="s">
        <v>1150</v>
      </c>
      <c r="D229" s="35" t="s">
        <v>1151</v>
      </c>
      <c r="E229" s="35" t="s">
        <v>85</v>
      </c>
      <c r="F229" s="35" t="s">
        <v>85</v>
      </c>
      <c r="G229" s="35" t="s">
        <v>85</v>
      </c>
      <c r="H229" s="35" t="s">
        <v>707</v>
      </c>
      <c r="I229" s="35" t="s">
        <v>346</v>
      </c>
      <c r="J229" s="35" t="s">
        <v>347</v>
      </c>
      <c r="K229" s="35" t="s">
        <v>53</v>
      </c>
      <c r="L229" s="35" t="s">
        <v>54</v>
      </c>
      <c r="M229" s="35" t="s">
        <v>45</v>
      </c>
      <c r="N229" s="35" t="s">
        <v>46</v>
      </c>
      <c r="O229" s="35" t="s">
        <v>56</v>
      </c>
      <c r="P229" s="35" t="s">
        <v>56</v>
      </c>
      <c r="Q229" s="35" t="s">
        <v>48</v>
      </c>
      <c r="R229" s="35" t="s">
        <v>137</v>
      </c>
      <c r="S229" s="36">
        <v>46081</v>
      </c>
      <c r="T229" s="36"/>
      <c r="U229" s="35" t="s">
        <v>56</v>
      </c>
      <c r="V229" s="35" t="s">
        <v>148</v>
      </c>
      <c r="W229" s="35" t="s">
        <v>349</v>
      </c>
      <c r="X229" s="36">
        <v>46186</v>
      </c>
      <c r="Y229" s="35" t="s">
        <v>359</v>
      </c>
    </row>
    <row r="230" spans="1:25">
      <c r="A230" s="35" t="s">
        <v>1152</v>
      </c>
      <c r="B230" s="35" t="s">
        <v>59</v>
      </c>
      <c r="C230" s="35" t="s">
        <v>1153</v>
      </c>
      <c r="D230" s="35" t="s">
        <v>1154</v>
      </c>
      <c r="E230" s="35" t="s">
        <v>456</v>
      </c>
      <c r="F230" s="35" t="s">
        <v>456</v>
      </c>
      <c r="G230" s="35" t="s">
        <v>456</v>
      </c>
      <c r="H230" s="35" t="s">
        <v>469</v>
      </c>
      <c r="I230" s="35" t="s">
        <v>130</v>
      </c>
      <c r="J230" s="35" t="s">
        <v>393</v>
      </c>
      <c r="K230" s="35" t="s">
        <v>53</v>
      </c>
      <c r="L230" s="35" t="s">
        <v>54</v>
      </c>
      <c r="M230" s="35" t="s">
        <v>45</v>
      </c>
      <c r="N230" s="35" t="s">
        <v>46</v>
      </c>
      <c r="O230" s="35" t="s">
        <v>47</v>
      </c>
      <c r="P230" s="35" t="s">
        <v>56</v>
      </c>
      <c r="Q230" s="35" t="s">
        <v>58</v>
      </c>
      <c r="R230" s="35" t="s">
        <v>56</v>
      </c>
      <c r="S230" s="36">
        <v>46143</v>
      </c>
      <c r="T230" s="36"/>
      <c r="U230" s="35" t="s">
        <v>56</v>
      </c>
      <c r="V230" s="35" t="s">
        <v>143</v>
      </c>
      <c r="W230" s="35" t="s">
        <v>365</v>
      </c>
      <c r="X230" s="36">
        <v>46182</v>
      </c>
      <c r="Y230" s="35" t="s">
        <v>343</v>
      </c>
    </row>
    <row r="231" spans="1:25">
      <c r="A231" s="35" t="s">
        <v>1155</v>
      </c>
      <c r="B231" s="35" t="s">
        <v>69</v>
      </c>
      <c r="C231" s="35" t="s">
        <v>1156</v>
      </c>
      <c r="D231" s="35" t="s">
        <v>1157</v>
      </c>
      <c r="E231" s="35" t="s">
        <v>405</v>
      </c>
      <c r="F231" s="35" t="s">
        <v>405</v>
      </c>
      <c r="G231" s="35" t="s">
        <v>405</v>
      </c>
      <c r="H231" s="35" t="s">
        <v>492</v>
      </c>
      <c r="I231" s="35" t="s">
        <v>130</v>
      </c>
      <c r="J231" s="35" t="s">
        <v>393</v>
      </c>
      <c r="K231" s="35" t="s">
        <v>53</v>
      </c>
      <c r="L231" s="35" t="s">
        <v>54</v>
      </c>
      <c r="M231" s="35" t="s">
        <v>55</v>
      </c>
      <c r="N231" s="35" t="s">
        <v>46</v>
      </c>
      <c r="O231" s="35" t="s">
        <v>47</v>
      </c>
      <c r="P231" s="35" t="s">
        <v>139</v>
      </c>
      <c r="Q231" s="35" t="s">
        <v>48</v>
      </c>
      <c r="R231" s="35" t="s">
        <v>46</v>
      </c>
      <c r="S231" s="36">
        <v>46073</v>
      </c>
      <c r="T231" s="36">
        <v>46092</v>
      </c>
      <c r="U231" s="35" t="s">
        <v>49</v>
      </c>
      <c r="V231" s="35" t="s">
        <v>348</v>
      </c>
      <c r="W231" s="35" t="s">
        <v>330</v>
      </c>
      <c r="X231" s="36">
        <v>46183</v>
      </c>
      <c r="Y231" s="35" t="s">
        <v>350</v>
      </c>
    </row>
    <row r="232" spans="1:25">
      <c r="A232" s="35" t="s">
        <v>1158</v>
      </c>
      <c r="B232" s="35" t="s">
        <v>513</v>
      </c>
      <c r="C232" s="35" t="s">
        <v>1159</v>
      </c>
      <c r="D232" s="35" t="s">
        <v>1160</v>
      </c>
      <c r="E232" s="35" t="s">
        <v>90</v>
      </c>
      <c r="F232" s="35" t="s">
        <v>90</v>
      </c>
      <c r="G232" s="35" t="s">
        <v>90</v>
      </c>
      <c r="H232" s="35" t="s">
        <v>1032</v>
      </c>
      <c r="I232" s="35" t="s">
        <v>130</v>
      </c>
      <c r="J232" s="35" t="s">
        <v>393</v>
      </c>
      <c r="K232" s="35" t="s">
        <v>53</v>
      </c>
      <c r="L232" s="35" t="s">
        <v>54</v>
      </c>
      <c r="M232" s="35" t="s">
        <v>55</v>
      </c>
      <c r="N232" s="35" t="s">
        <v>46</v>
      </c>
      <c r="O232" s="35" t="s">
        <v>47</v>
      </c>
      <c r="P232" s="35" t="s">
        <v>139</v>
      </c>
      <c r="Q232" s="35" t="s">
        <v>48</v>
      </c>
      <c r="R232" s="35" t="s">
        <v>46</v>
      </c>
      <c r="S232" s="36">
        <v>46057</v>
      </c>
      <c r="T232" s="36">
        <v>46071</v>
      </c>
      <c r="U232" s="35" t="s">
        <v>49</v>
      </c>
      <c r="V232" s="35" t="s">
        <v>348</v>
      </c>
      <c r="W232" s="35" t="s">
        <v>330</v>
      </c>
      <c r="X232" s="36">
        <v>46181</v>
      </c>
      <c r="Y232" s="35" t="s">
        <v>350</v>
      </c>
    </row>
    <row r="233" spans="1:25">
      <c r="A233" s="35" t="s">
        <v>1161</v>
      </c>
      <c r="B233" s="35" t="s">
        <v>59</v>
      </c>
      <c r="C233" s="35" t="s">
        <v>1162</v>
      </c>
      <c r="D233" s="35" t="s">
        <v>1163</v>
      </c>
      <c r="E233" s="35" t="s">
        <v>478</v>
      </c>
      <c r="F233" s="35" t="s">
        <v>478</v>
      </c>
      <c r="G233" s="35" t="s">
        <v>478</v>
      </c>
      <c r="H233" s="35" t="s">
        <v>419</v>
      </c>
      <c r="I233" s="35" t="s">
        <v>346</v>
      </c>
      <c r="J233" s="35" t="s">
        <v>347</v>
      </c>
      <c r="K233" s="35" t="s">
        <v>53</v>
      </c>
      <c r="L233" s="35" t="s">
        <v>54</v>
      </c>
      <c r="M233" s="35" t="s">
        <v>45</v>
      </c>
      <c r="N233" s="35" t="s">
        <v>46</v>
      </c>
      <c r="O233" s="35" t="s">
        <v>56</v>
      </c>
      <c r="P233" s="35" t="s">
        <v>56</v>
      </c>
      <c r="Q233" s="35" t="s">
        <v>48</v>
      </c>
      <c r="R233" s="35" t="s">
        <v>137</v>
      </c>
      <c r="S233" s="36">
        <v>46085</v>
      </c>
      <c r="T233" s="36"/>
      <c r="U233" s="35" t="s">
        <v>56</v>
      </c>
      <c r="V233" s="35" t="s">
        <v>148</v>
      </c>
      <c r="W233" s="35" t="s">
        <v>338</v>
      </c>
      <c r="X233" s="36">
        <v>46185</v>
      </c>
      <c r="Y233" s="35" t="s">
        <v>359</v>
      </c>
    </row>
    <row r="234" spans="1:25">
      <c r="A234" s="35" t="s">
        <v>1164</v>
      </c>
      <c r="B234" s="35" t="s">
        <v>71</v>
      </c>
      <c r="C234" s="35" t="s">
        <v>438</v>
      </c>
      <c r="D234" s="35" t="s">
        <v>1165</v>
      </c>
      <c r="E234" s="35" t="s">
        <v>103</v>
      </c>
      <c r="F234" s="35" t="s">
        <v>103</v>
      </c>
      <c r="G234" s="35" t="s">
        <v>103</v>
      </c>
      <c r="H234" s="35" t="s">
        <v>363</v>
      </c>
      <c r="I234" s="35" t="s">
        <v>51</v>
      </c>
      <c r="J234" s="35" t="s">
        <v>52</v>
      </c>
      <c r="K234" s="35" t="s">
        <v>53</v>
      </c>
      <c r="L234" s="35" t="s">
        <v>54</v>
      </c>
      <c r="M234" s="35" t="s">
        <v>45</v>
      </c>
      <c r="N234" s="35" t="s">
        <v>46</v>
      </c>
      <c r="O234" s="35" t="s">
        <v>47</v>
      </c>
      <c r="P234" s="35" t="s">
        <v>47</v>
      </c>
      <c r="Q234" s="35" t="s">
        <v>48</v>
      </c>
      <c r="R234" s="35" t="s">
        <v>46</v>
      </c>
      <c r="S234" s="36">
        <v>46085</v>
      </c>
      <c r="T234" s="36">
        <v>46103</v>
      </c>
      <c r="U234" s="35" t="s">
        <v>49</v>
      </c>
      <c r="V234" s="35" t="s">
        <v>348</v>
      </c>
      <c r="W234" s="35" t="s">
        <v>349</v>
      </c>
      <c r="X234" s="36">
        <v>46177</v>
      </c>
      <c r="Y234" s="35" t="s">
        <v>350</v>
      </c>
    </row>
    <row r="235" spans="1:25">
      <c r="A235" s="35" t="s">
        <v>1166</v>
      </c>
      <c r="B235" s="35" t="s">
        <v>78</v>
      </c>
      <c r="C235" s="35" t="s">
        <v>1167</v>
      </c>
      <c r="D235" s="35" t="s">
        <v>1168</v>
      </c>
      <c r="E235" s="35" t="s">
        <v>95</v>
      </c>
      <c r="F235" s="35" t="s">
        <v>95</v>
      </c>
      <c r="G235" s="35" t="s">
        <v>1169</v>
      </c>
      <c r="H235" s="35" t="s">
        <v>812</v>
      </c>
      <c r="I235" s="35" t="s">
        <v>130</v>
      </c>
      <c r="J235" s="35" t="s">
        <v>393</v>
      </c>
      <c r="K235" s="35" t="s">
        <v>53</v>
      </c>
      <c r="L235" s="35" t="s">
        <v>54</v>
      </c>
      <c r="M235" s="35" t="s">
        <v>45</v>
      </c>
      <c r="N235" s="35" t="s">
        <v>46</v>
      </c>
      <c r="O235" s="35" t="s">
        <v>138</v>
      </c>
      <c r="P235" s="35" t="s">
        <v>138</v>
      </c>
      <c r="Q235" s="35" t="s">
        <v>48</v>
      </c>
      <c r="R235" s="35" t="s">
        <v>140</v>
      </c>
      <c r="S235" s="36">
        <v>46134</v>
      </c>
      <c r="T235" s="36"/>
      <c r="U235" s="35" t="s">
        <v>141</v>
      </c>
      <c r="V235" s="35" t="s">
        <v>144</v>
      </c>
      <c r="W235" s="35" t="s">
        <v>338</v>
      </c>
      <c r="X235" s="36">
        <v>46183</v>
      </c>
      <c r="Y235" s="35" t="s">
        <v>389</v>
      </c>
    </row>
    <row r="236" spans="1:25">
      <c r="A236" s="35" t="s">
        <v>1170</v>
      </c>
      <c r="B236" s="35" t="s">
        <v>66</v>
      </c>
      <c r="C236" s="35" t="s">
        <v>1171</v>
      </c>
      <c r="D236" s="35" t="s">
        <v>1172</v>
      </c>
      <c r="E236" s="35" t="s">
        <v>464</v>
      </c>
      <c r="F236" s="35" t="s">
        <v>464</v>
      </c>
      <c r="G236" s="35" t="s">
        <v>464</v>
      </c>
      <c r="H236" s="35" t="s">
        <v>1022</v>
      </c>
      <c r="I236" s="35" t="s">
        <v>130</v>
      </c>
      <c r="J236" s="35" t="s">
        <v>575</v>
      </c>
      <c r="K236" s="35" t="s">
        <v>53</v>
      </c>
      <c r="L236" s="35" t="s">
        <v>54</v>
      </c>
      <c r="M236" s="35" t="s">
        <v>45</v>
      </c>
      <c r="N236" s="35" t="s">
        <v>46</v>
      </c>
      <c r="O236" s="35" t="s">
        <v>138</v>
      </c>
      <c r="P236" s="35" t="s">
        <v>138</v>
      </c>
      <c r="Q236" s="35" t="s">
        <v>48</v>
      </c>
      <c r="R236" s="35" t="s">
        <v>140</v>
      </c>
      <c r="S236" s="36">
        <v>46118</v>
      </c>
      <c r="T236" s="36"/>
      <c r="U236" s="35" t="s">
        <v>141</v>
      </c>
      <c r="V236" s="35" t="s">
        <v>329</v>
      </c>
      <c r="W236" s="35" t="s">
        <v>441</v>
      </c>
      <c r="X236" s="36">
        <v>46179</v>
      </c>
      <c r="Y236" s="35" t="s">
        <v>331</v>
      </c>
    </row>
    <row r="237" spans="1:25">
      <c r="A237" s="35" t="s">
        <v>1173</v>
      </c>
      <c r="B237" s="35" t="s">
        <v>513</v>
      </c>
      <c r="C237" s="35" t="s">
        <v>1174</v>
      </c>
      <c r="D237" s="35" t="s">
        <v>1175</v>
      </c>
      <c r="E237" s="35" t="s">
        <v>96</v>
      </c>
      <c r="F237" s="35" t="s">
        <v>96</v>
      </c>
      <c r="G237" s="35" t="s">
        <v>96</v>
      </c>
      <c r="H237" s="35" t="s">
        <v>500</v>
      </c>
      <c r="I237" s="35" t="s">
        <v>131</v>
      </c>
      <c r="J237" s="35" t="s">
        <v>342</v>
      </c>
      <c r="K237" s="35" t="s">
        <v>53</v>
      </c>
      <c r="L237" s="35" t="s">
        <v>54</v>
      </c>
      <c r="M237" s="35" t="s">
        <v>55</v>
      </c>
      <c r="N237" s="35" t="s">
        <v>46</v>
      </c>
      <c r="O237" s="35" t="s">
        <v>47</v>
      </c>
      <c r="P237" s="35" t="s">
        <v>139</v>
      </c>
      <c r="Q237" s="35" t="s">
        <v>48</v>
      </c>
      <c r="R237" s="35" t="s">
        <v>46</v>
      </c>
      <c r="S237" s="36">
        <v>46143</v>
      </c>
      <c r="T237" s="36">
        <v>46154</v>
      </c>
      <c r="U237" s="35" t="s">
        <v>49</v>
      </c>
      <c r="V237" s="35" t="s">
        <v>348</v>
      </c>
      <c r="W237" s="35" t="s">
        <v>365</v>
      </c>
      <c r="X237" s="36">
        <v>46178</v>
      </c>
      <c r="Y237" s="35" t="s">
        <v>350</v>
      </c>
    </row>
    <row r="238" spans="1:25">
      <c r="A238" s="35" t="s">
        <v>1176</v>
      </c>
      <c r="B238" s="35" t="s">
        <v>64</v>
      </c>
      <c r="C238" s="35" t="s">
        <v>970</v>
      </c>
      <c r="D238" s="35" t="s">
        <v>1177</v>
      </c>
      <c r="E238" s="35" t="s">
        <v>97</v>
      </c>
      <c r="F238" s="35" t="s">
        <v>97</v>
      </c>
      <c r="G238" s="35" t="s">
        <v>97</v>
      </c>
      <c r="H238" s="35" t="s">
        <v>400</v>
      </c>
      <c r="I238" s="35" t="s">
        <v>130</v>
      </c>
      <c r="J238" s="35" t="s">
        <v>393</v>
      </c>
      <c r="K238" s="35" t="s">
        <v>53</v>
      </c>
      <c r="L238" s="35" t="s">
        <v>54</v>
      </c>
      <c r="M238" s="35" t="s">
        <v>45</v>
      </c>
      <c r="N238" s="35" t="s">
        <v>46</v>
      </c>
      <c r="O238" s="35" t="s">
        <v>47</v>
      </c>
      <c r="P238" s="35" t="s">
        <v>56</v>
      </c>
      <c r="Q238" s="35" t="s">
        <v>48</v>
      </c>
      <c r="R238" s="35" t="s">
        <v>137</v>
      </c>
      <c r="S238" s="36">
        <v>46123</v>
      </c>
      <c r="T238" s="36"/>
      <c r="U238" s="35" t="s">
        <v>56</v>
      </c>
      <c r="V238" s="35" t="s">
        <v>364</v>
      </c>
      <c r="W238" s="35" t="s">
        <v>349</v>
      </c>
      <c r="X238" s="36">
        <v>46180</v>
      </c>
      <c r="Y238" s="35" t="s">
        <v>366</v>
      </c>
    </row>
    <row r="239" spans="1:25">
      <c r="A239" s="35" t="s">
        <v>1178</v>
      </c>
      <c r="B239" s="35" t="s">
        <v>70</v>
      </c>
      <c r="C239" s="35" t="s">
        <v>1179</v>
      </c>
      <c r="D239" s="35" t="s">
        <v>1180</v>
      </c>
      <c r="E239" s="35" t="s">
        <v>104</v>
      </c>
      <c r="F239" s="35" t="s">
        <v>104</v>
      </c>
      <c r="G239" s="35" t="s">
        <v>104</v>
      </c>
      <c r="H239" s="35" t="s">
        <v>109</v>
      </c>
      <c r="I239" s="35" t="s">
        <v>129</v>
      </c>
      <c r="J239" s="35" t="s">
        <v>134</v>
      </c>
      <c r="K239" s="35" t="s">
        <v>44</v>
      </c>
      <c r="L239" s="35" t="s">
        <v>133</v>
      </c>
      <c r="M239" s="35" t="s">
        <v>55</v>
      </c>
      <c r="N239" s="35" t="s">
        <v>46</v>
      </c>
      <c r="O239" s="35" t="s">
        <v>138</v>
      </c>
      <c r="P239" s="35" t="s">
        <v>139</v>
      </c>
      <c r="Q239" s="35" t="s">
        <v>48</v>
      </c>
      <c r="R239" s="35" t="s">
        <v>140</v>
      </c>
      <c r="S239" s="36">
        <v>46175</v>
      </c>
      <c r="T239" s="36"/>
      <c r="U239" s="35" t="s">
        <v>141</v>
      </c>
      <c r="V239" s="35" t="s">
        <v>377</v>
      </c>
      <c r="W239" s="35" t="s">
        <v>330</v>
      </c>
      <c r="X239" s="36">
        <v>46186</v>
      </c>
      <c r="Y239" s="35" t="s">
        <v>378</v>
      </c>
    </row>
    <row r="240" spans="1:25">
      <c r="A240" s="35" t="s">
        <v>1181</v>
      </c>
      <c r="B240" s="35" t="s">
        <v>403</v>
      </c>
      <c r="C240" s="35" t="s">
        <v>1182</v>
      </c>
      <c r="D240" s="35" t="s">
        <v>1183</v>
      </c>
      <c r="E240" s="35" t="s">
        <v>456</v>
      </c>
      <c r="F240" s="35" t="s">
        <v>456</v>
      </c>
      <c r="G240" s="35" t="s">
        <v>1183</v>
      </c>
      <c r="H240" s="35" t="s">
        <v>106</v>
      </c>
      <c r="I240" s="35" t="s">
        <v>43</v>
      </c>
      <c r="J240" s="35" t="s">
        <v>357</v>
      </c>
      <c r="K240" s="35" t="s">
        <v>44</v>
      </c>
      <c r="L240" s="35" t="s">
        <v>1184</v>
      </c>
      <c r="M240" s="35" t="s">
        <v>45</v>
      </c>
      <c r="N240" s="35" t="s">
        <v>46</v>
      </c>
      <c r="O240" s="35" t="s">
        <v>138</v>
      </c>
      <c r="P240" s="35" t="s">
        <v>138</v>
      </c>
      <c r="Q240" s="35" t="s">
        <v>48</v>
      </c>
      <c r="R240" s="35" t="s">
        <v>140</v>
      </c>
      <c r="S240" s="36">
        <v>46096</v>
      </c>
      <c r="T240" s="36"/>
      <c r="U240" s="35" t="s">
        <v>141</v>
      </c>
      <c r="V240" s="35" t="s">
        <v>412</v>
      </c>
      <c r="W240" s="35" t="s">
        <v>365</v>
      </c>
      <c r="X240" s="36">
        <v>46177</v>
      </c>
      <c r="Y240" s="35" t="s">
        <v>413</v>
      </c>
    </row>
    <row r="241" spans="1:25">
      <c r="A241" s="35" t="s">
        <v>1185</v>
      </c>
      <c r="B241" s="35" t="s">
        <v>63</v>
      </c>
      <c r="C241" s="35" t="s">
        <v>1186</v>
      </c>
      <c r="D241" s="35" t="s">
        <v>1187</v>
      </c>
      <c r="E241" s="35" t="s">
        <v>105</v>
      </c>
      <c r="F241" s="35" t="s">
        <v>105</v>
      </c>
      <c r="G241" s="35" t="s">
        <v>105</v>
      </c>
      <c r="H241" s="35" t="s">
        <v>107</v>
      </c>
      <c r="I241" s="35" t="s">
        <v>43</v>
      </c>
      <c r="J241" s="35" t="s">
        <v>357</v>
      </c>
      <c r="K241" s="35" t="s">
        <v>44</v>
      </c>
      <c r="L241" s="35" t="s">
        <v>1188</v>
      </c>
      <c r="M241" s="35" t="s">
        <v>45</v>
      </c>
      <c r="N241" s="35" t="s">
        <v>137</v>
      </c>
      <c r="O241" s="35" t="s">
        <v>57</v>
      </c>
      <c r="P241" s="35" t="s">
        <v>57</v>
      </c>
      <c r="Q241" s="35" t="s">
        <v>58</v>
      </c>
      <c r="R241" s="35" t="s">
        <v>57</v>
      </c>
      <c r="S241" s="36">
        <v>46160</v>
      </c>
      <c r="T241" s="36"/>
      <c r="U241" s="35" t="s">
        <v>56</v>
      </c>
      <c r="V241" s="35" t="s">
        <v>147</v>
      </c>
      <c r="W241" s="35" t="s">
        <v>349</v>
      </c>
      <c r="X241" s="36">
        <v>46186</v>
      </c>
      <c r="Y241" s="35" t="s">
        <v>406</v>
      </c>
    </row>
    <row r="242" spans="1:25">
      <c r="A242" s="35" t="s">
        <v>1189</v>
      </c>
      <c r="B242" s="35" t="s">
        <v>16</v>
      </c>
      <c r="C242" s="35" t="s">
        <v>1190</v>
      </c>
      <c r="D242" s="35" t="s">
        <v>1191</v>
      </c>
      <c r="E242" s="35" t="s">
        <v>560</v>
      </c>
      <c r="F242" s="35" t="s">
        <v>560</v>
      </c>
      <c r="G242" s="35" t="s">
        <v>560</v>
      </c>
      <c r="H242" s="35" t="s">
        <v>127</v>
      </c>
      <c r="I242" s="35" t="s">
        <v>43</v>
      </c>
      <c r="J242" s="35" t="s">
        <v>336</v>
      </c>
      <c r="K242" s="35" t="s">
        <v>44</v>
      </c>
      <c r="L242" s="35" t="s">
        <v>1192</v>
      </c>
      <c r="M242" s="35" t="s">
        <v>55</v>
      </c>
      <c r="N242" s="35" t="s">
        <v>46</v>
      </c>
      <c r="O242" s="35" t="s">
        <v>138</v>
      </c>
      <c r="P242" s="35" t="s">
        <v>139</v>
      </c>
      <c r="Q242" s="35" t="s">
        <v>48</v>
      </c>
      <c r="R242" s="35" t="s">
        <v>140</v>
      </c>
      <c r="S242" s="36">
        <v>46041</v>
      </c>
      <c r="T242" s="36"/>
      <c r="U242" s="35" t="s">
        <v>141</v>
      </c>
      <c r="V242" s="35" t="s">
        <v>329</v>
      </c>
      <c r="W242" s="35" t="s">
        <v>349</v>
      </c>
      <c r="X242" s="36">
        <v>46184</v>
      </c>
      <c r="Y242" s="35" t="s">
        <v>331</v>
      </c>
    </row>
    <row r="243" spans="1:25">
      <c r="A243" s="35" t="s">
        <v>1193</v>
      </c>
      <c r="B243" s="35" t="s">
        <v>61</v>
      </c>
      <c r="C243" s="35" t="s">
        <v>896</v>
      </c>
      <c r="D243" s="35" t="s">
        <v>1194</v>
      </c>
      <c r="E243" s="35" t="s">
        <v>91</v>
      </c>
      <c r="F243" s="35" t="s">
        <v>91</v>
      </c>
      <c r="G243" s="35" t="s">
        <v>507</v>
      </c>
      <c r="H243" s="35" t="s">
        <v>593</v>
      </c>
      <c r="I243" s="35" t="s">
        <v>129</v>
      </c>
      <c r="J243" s="35" t="s">
        <v>134</v>
      </c>
      <c r="K243" s="35" t="s">
        <v>44</v>
      </c>
      <c r="L243" s="35" t="s">
        <v>1195</v>
      </c>
      <c r="M243" s="35" t="s">
        <v>55</v>
      </c>
      <c r="N243" s="35" t="s">
        <v>46</v>
      </c>
      <c r="O243" s="35" t="s">
        <v>138</v>
      </c>
      <c r="P243" s="35" t="s">
        <v>139</v>
      </c>
      <c r="Q243" s="35" t="s">
        <v>48</v>
      </c>
      <c r="R243" s="35" t="s">
        <v>140</v>
      </c>
      <c r="S243" s="36">
        <v>46105</v>
      </c>
      <c r="T243" s="36"/>
      <c r="U243" s="35" t="s">
        <v>141</v>
      </c>
      <c r="V243" s="35" t="s">
        <v>144</v>
      </c>
      <c r="W243" s="35" t="s">
        <v>330</v>
      </c>
      <c r="X243" s="36">
        <v>46182</v>
      </c>
      <c r="Y243" s="35" t="s">
        <v>389</v>
      </c>
    </row>
    <row r="244" spans="1:25">
      <c r="A244" s="35" t="s">
        <v>1196</v>
      </c>
      <c r="B244" s="35" t="s">
        <v>69</v>
      </c>
      <c r="C244" s="35" t="s">
        <v>872</v>
      </c>
      <c r="D244" s="35" t="s">
        <v>1197</v>
      </c>
      <c r="E244" s="35" t="s">
        <v>97</v>
      </c>
      <c r="F244" s="35" t="s">
        <v>97</v>
      </c>
      <c r="G244" s="35" t="s">
        <v>97</v>
      </c>
      <c r="H244" s="35" t="s">
        <v>116</v>
      </c>
      <c r="I244" s="35" t="s">
        <v>131</v>
      </c>
      <c r="J244" s="35" t="s">
        <v>342</v>
      </c>
      <c r="K244" s="35" t="s">
        <v>53</v>
      </c>
      <c r="L244" s="35" t="s">
        <v>54</v>
      </c>
      <c r="M244" s="35" t="s">
        <v>55</v>
      </c>
      <c r="N244" s="35" t="s">
        <v>137</v>
      </c>
      <c r="O244" s="35" t="s">
        <v>57</v>
      </c>
      <c r="P244" s="35" t="s">
        <v>139</v>
      </c>
      <c r="Q244" s="35" t="s">
        <v>58</v>
      </c>
      <c r="R244" s="35" t="s">
        <v>57</v>
      </c>
      <c r="S244" s="36">
        <v>46057</v>
      </c>
      <c r="T244" s="36"/>
      <c r="U244" s="35" t="s">
        <v>56</v>
      </c>
      <c r="V244" s="35" t="s">
        <v>147</v>
      </c>
      <c r="W244" s="35" t="s">
        <v>330</v>
      </c>
      <c r="X244" s="36">
        <v>46186</v>
      </c>
      <c r="Y244" s="35" t="s">
        <v>406</v>
      </c>
    </row>
    <row r="245" spans="1:25">
      <c r="A245" s="35" t="s">
        <v>1198</v>
      </c>
      <c r="B245" s="35" t="s">
        <v>69</v>
      </c>
      <c r="C245" s="35" t="s">
        <v>1199</v>
      </c>
      <c r="D245" s="35" t="s">
        <v>1200</v>
      </c>
      <c r="E245" s="35" t="s">
        <v>874</v>
      </c>
      <c r="F245" s="35" t="s">
        <v>874</v>
      </c>
      <c r="G245" s="35" t="s">
        <v>874</v>
      </c>
      <c r="H245" s="35" t="s">
        <v>500</v>
      </c>
      <c r="I245" s="35" t="s">
        <v>130</v>
      </c>
      <c r="J245" s="35" t="s">
        <v>393</v>
      </c>
      <c r="K245" s="35" t="s">
        <v>53</v>
      </c>
      <c r="L245" s="35" t="s">
        <v>54</v>
      </c>
      <c r="M245" s="35" t="s">
        <v>55</v>
      </c>
      <c r="N245" s="35" t="s">
        <v>46</v>
      </c>
      <c r="O245" s="35" t="s">
        <v>47</v>
      </c>
      <c r="P245" s="35" t="s">
        <v>139</v>
      </c>
      <c r="Q245" s="35" t="s">
        <v>48</v>
      </c>
      <c r="R245" s="35" t="s">
        <v>46</v>
      </c>
      <c r="S245" s="36">
        <v>46080</v>
      </c>
      <c r="T245" s="36">
        <v>46088</v>
      </c>
      <c r="U245" s="35" t="s">
        <v>49</v>
      </c>
      <c r="V245" s="35" t="s">
        <v>348</v>
      </c>
      <c r="W245" s="35" t="s">
        <v>349</v>
      </c>
      <c r="X245" s="36">
        <v>46183</v>
      </c>
      <c r="Y245" s="35" t="s">
        <v>350</v>
      </c>
    </row>
    <row r="246" spans="1:25">
      <c r="A246" s="35" t="s">
        <v>1201</v>
      </c>
      <c r="B246" s="35" t="s">
        <v>74</v>
      </c>
      <c r="C246" s="35" t="s">
        <v>472</v>
      </c>
      <c r="D246" s="35" t="s">
        <v>1202</v>
      </c>
      <c r="E246" s="35" t="s">
        <v>826</v>
      </c>
      <c r="F246" s="35" t="s">
        <v>826</v>
      </c>
      <c r="G246" s="35" t="s">
        <v>826</v>
      </c>
      <c r="H246" s="35" t="s">
        <v>114</v>
      </c>
      <c r="I246" s="35" t="s">
        <v>43</v>
      </c>
      <c r="J246" s="35" t="s">
        <v>357</v>
      </c>
      <c r="K246" s="35" t="s">
        <v>44</v>
      </c>
      <c r="L246" s="35" t="s">
        <v>1203</v>
      </c>
      <c r="M246" s="35" t="s">
        <v>55</v>
      </c>
      <c r="N246" s="35" t="s">
        <v>46</v>
      </c>
      <c r="O246" s="35" t="s">
        <v>47</v>
      </c>
      <c r="P246" s="35" t="s">
        <v>139</v>
      </c>
      <c r="Q246" s="35" t="s">
        <v>48</v>
      </c>
      <c r="R246" s="35" t="s">
        <v>137</v>
      </c>
      <c r="S246" s="36">
        <v>46158</v>
      </c>
      <c r="T246" s="36"/>
      <c r="U246" s="35" t="s">
        <v>56</v>
      </c>
      <c r="V246" s="35" t="s">
        <v>364</v>
      </c>
      <c r="W246" s="35" t="s">
        <v>330</v>
      </c>
      <c r="X246" s="36">
        <v>46180</v>
      </c>
      <c r="Y246" s="35" t="s">
        <v>366</v>
      </c>
    </row>
    <row r="247" spans="1:25">
      <c r="A247" s="35" t="s">
        <v>1204</v>
      </c>
      <c r="B247" s="35" t="s">
        <v>77</v>
      </c>
      <c r="C247" s="35" t="s">
        <v>613</v>
      </c>
      <c r="D247" s="35" t="s">
        <v>1205</v>
      </c>
      <c r="E247" s="35" t="s">
        <v>405</v>
      </c>
      <c r="F247" s="35" t="s">
        <v>405</v>
      </c>
      <c r="G247" s="35" t="s">
        <v>405</v>
      </c>
      <c r="H247" s="35" t="s">
        <v>123</v>
      </c>
      <c r="I247" s="35" t="s">
        <v>346</v>
      </c>
      <c r="J247" s="35" t="s">
        <v>347</v>
      </c>
      <c r="K247" s="35" t="s">
        <v>53</v>
      </c>
      <c r="L247" s="35" t="s">
        <v>54</v>
      </c>
      <c r="M247" s="35" t="s">
        <v>45</v>
      </c>
      <c r="N247" s="35" t="s">
        <v>46</v>
      </c>
      <c r="O247" s="35" t="s">
        <v>47</v>
      </c>
      <c r="P247" s="35" t="s">
        <v>47</v>
      </c>
      <c r="Q247" s="35" t="s">
        <v>48</v>
      </c>
      <c r="R247" s="35" t="s">
        <v>46</v>
      </c>
      <c r="S247" s="36">
        <v>46117</v>
      </c>
      <c r="T247" s="36">
        <v>46124</v>
      </c>
      <c r="U247" s="35" t="s">
        <v>49</v>
      </c>
      <c r="V247" s="35" t="s">
        <v>348</v>
      </c>
      <c r="W247" s="35" t="s">
        <v>338</v>
      </c>
      <c r="X247" s="36">
        <v>46179</v>
      </c>
      <c r="Y247" s="35" t="s">
        <v>350</v>
      </c>
    </row>
    <row r="248" spans="1:25">
      <c r="A248" s="35" t="s">
        <v>1206</v>
      </c>
      <c r="B248" s="35" t="s">
        <v>391</v>
      </c>
      <c r="C248" s="35" t="s">
        <v>1207</v>
      </c>
      <c r="D248" s="35" t="s">
        <v>1208</v>
      </c>
      <c r="E248" s="35" t="s">
        <v>86</v>
      </c>
      <c r="F248" s="35" t="s">
        <v>86</v>
      </c>
      <c r="G248" s="35" t="s">
        <v>86</v>
      </c>
      <c r="H248" s="35" t="s">
        <v>703</v>
      </c>
      <c r="I248" s="35" t="s">
        <v>51</v>
      </c>
      <c r="J248" s="35" t="s">
        <v>52</v>
      </c>
      <c r="K248" s="35" t="s">
        <v>53</v>
      </c>
      <c r="L248" s="35" t="s">
        <v>54</v>
      </c>
      <c r="M248" s="35" t="s">
        <v>55</v>
      </c>
      <c r="N248" s="35" t="s">
        <v>46</v>
      </c>
      <c r="O248" s="35" t="s">
        <v>47</v>
      </c>
      <c r="P248" s="35" t="s">
        <v>139</v>
      </c>
      <c r="Q248" s="35" t="s">
        <v>48</v>
      </c>
      <c r="R248" s="35" t="s">
        <v>46</v>
      </c>
      <c r="S248" s="36">
        <v>46136</v>
      </c>
      <c r="T248" s="36">
        <v>46153</v>
      </c>
      <c r="U248" s="35" t="s">
        <v>49</v>
      </c>
      <c r="V248" s="35" t="s">
        <v>348</v>
      </c>
      <c r="W248" s="35" t="s">
        <v>441</v>
      </c>
      <c r="X248" s="36">
        <v>46184</v>
      </c>
      <c r="Y248" s="35" t="s">
        <v>350</v>
      </c>
    </row>
    <row r="249" spans="1:25">
      <c r="A249" s="35" t="s">
        <v>1209</v>
      </c>
      <c r="B249" s="35" t="s">
        <v>391</v>
      </c>
      <c r="C249" s="35" t="s">
        <v>542</v>
      </c>
      <c r="D249" s="35" t="s">
        <v>1210</v>
      </c>
      <c r="E249" s="35" t="s">
        <v>409</v>
      </c>
      <c r="F249" s="35" t="s">
        <v>409</v>
      </c>
      <c r="G249" s="35" t="s">
        <v>409</v>
      </c>
      <c r="H249" s="35" t="s">
        <v>727</v>
      </c>
      <c r="I249" s="35" t="s">
        <v>131</v>
      </c>
      <c r="J249" s="35" t="s">
        <v>731</v>
      </c>
      <c r="K249" s="35" t="s">
        <v>53</v>
      </c>
      <c r="L249" s="35" t="s">
        <v>54</v>
      </c>
      <c r="M249" s="35" t="s">
        <v>55</v>
      </c>
      <c r="N249" s="35" t="s">
        <v>46</v>
      </c>
      <c r="O249" s="35" t="s">
        <v>138</v>
      </c>
      <c r="P249" s="35" t="s">
        <v>139</v>
      </c>
      <c r="Q249" s="35" t="s">
        <v>48</v>
      </c>
      <c r="R249" s="35" t="s">
        <v>140</v>
      </c>
      <c r="S249" s="36">
        <v>46050</v>
      </c>
      <c r="T249" s="36"/>
      <c r="U249" s="35" t="s">
        <v>141</v>
      </c>
      <c r="V249" s="35" t="s">
        <v>329</v>
      </c>
      <c r="W249" s="35" t="s">
        <v>349</v>
      </c>
      <c r="X249" s="36">
        <v>46177</v>
      </c>
      <c r="Y249" s="35" t="s">
        <v>331</v>
      </c>
    </row>
    <row r="250" spans="1:25">
      <c r="A250" s="35" t="s">
        <v>1211</v>
      </c>
      <c r="B250" s="35" t="s">
        <v>403</v>
      </c>
      <c r="C250" s="35" t="s">
        <v>1212</v>
      </c>
      <c r="D250" s="35" t="s">
        <v>1213</v>
      </c>
      <c r="E250" s="35" t="s">
        <v>334</v>
      </c>
      <c r="F250" s="35" t="s">
        <v>334</v>
      </c>
      <c r="G250" s="35" t="s">
        <v>544</v>
      </c>
      <c r="H250" s="35" t="s">
        <v>410</v>
      </c>
      <c r="I250" s="35" t="s">
        <v>132</v>
      </c>
      <c r="J250" s="35" t="s">
        <v>401</v>
      </c>
      <c r="K250" s="35" t="s">
        <v>53</v>
      </c>
      <c r="L250" s="35" t="s">
        <v>54</v>
      </c>
      <c r="M250" s="35" t="s">
        <v>45</v>
      </c>
      <c r="N250" s="35" t="s">
        <v>46</v>
      </c>
      <c r="O250" s="35" t="s">
        <v>138</v>
      </c>
      <c r="P250" s="35" t="s">
        <v>138</v>
      </c>
      <c r="Q250" s="35" t="s">
        <v>48</v>
      </c>
      <c r="R250" s="35" t="s">
        <v>140</v>
      </c>
      <c r="S250" s="36">
        <v>46044</v>
      </c>
      <c r="T250" s="36"/>
      <c r="U250" s="35" t="s">
        <v>141</v>
      </c>
      <c r="V250" s="35" t="s">
        <v>144</v>
      </c>
      <c r="W250" s="35" t="s">
        <v>441</v>
      </c>
      <c r="X250" s="36">
        <v>46186</v>
      </c>
      <c r="Y250" s="35" t="s">
        <v>389</v>
      </c>
    </row>
    <row r="251" spans="1:25">
      <c r="A251" s="35" t="s">
        <v>1214</v>
      </c>
      <c r="B251" s="35" t="s">
        <v>71</v>
      </c>
      <c r="C251" s="35" t="s">
        <v>1215</v>
      </c>
      <c r="D251" s="35" t="s">
        <v>1216</v>
      </c>
      <c r="E251" s="35" t="s">
        <v>874</v>
      </c>
      <c r="F251" s="35" t="s">
        <v>874</v>
      </c>
      <c r="G251" s="35" t="s">
        <v>874</v>
      </c>
      <c r="H251" s="35" t="s">
        <v>619</v>
      </c>
      <c r="I251" s="35" t="s">
        <v>130</v>
      </c>
      <c r="J251" s="35" t="s">
        <v>393</v>
      </c>
      <c r="K251" s="35" t="s">
        <v>53</v>
      </c>
      <c r="L251" s="35" t="s">
        <v>54</v>
      </c>
      <c r="M251" s="35" t="s">
        <v>136</v>
      </c>
      <c r="N251" s="35" t="s">
        <v>137</v>
      </c>
      <c r="O251" s="35" t="s">
        <v>139</v>
      </c>
      <c r="P251" s="35" t="s">
        <v>57</v>
      </c>
      <c r="Q251" s="35" t="s">
        <v>58</v>
      </c>
      <c r="R251" s="35" t="s">
        <v>57</v>
      </c>
      <c r="S251" s="36">
        <v>46134</v>
      </c>
      <c r="T251" s="36"/>
      <c r="U251" s="35" t="s">
        <v>56</v>
      </c>
      <c r="V251" s="35" t="s">
        <v>147</v>
      </c>
      <c r="W251" s="35" t="s">
        <v>338</v>
      </c>
      <c r="X251" s="36">
        <v>46177</v>
      </c>
      <c r="Y251" s="35" t="s">
        <v>406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52"/>
  <sheetViews>
    <sheetView workbookViewId="0">
      <selection activeCell="A251" sqref="A251"/>
    </sheetView>
  </sheetViews>
  <sheetFormatPr defaultColWidth="68.90625" defaultRowHeight="14.5"/>
  <cols>
    <col min="1" max="1" width="11.36328125" customWidth="1"/>
    <col min="2" max="2" width="39.1796875" customWidth="1"/>
    <col min="3" max="3" width="35.453125" customWidth="1"/>
    <col min="4" max="4" width="17" customWidth="1"/>
    <col min="5" max="5" width="14.26953125" customWidth="1"/>
    <col min="6" max="6" width="17" customWidth="1"/>
    <col min="7" max="7" width="15.90625" customWidth="1"/>
    <col min="8" max="8" width="10.90625" customWidth="1"/>
    <col min="9" max="9" width="23.54296875" customWidth="1"/>
    <col min="10" max="10" width="13" customWidth="1"/>
    <col min="11" max="11" width="12.26953125" customWidth="1"/>
    <col min="12" max="12" width="24.36328125" customWidth="1"/>
    <col min="13" max="13" width="17.453125" customWidth="1"/>
    <col min="14" max="14" width="20" customWidth="1"/>
    <col min="15" max="15" width="24.1796875" customWidth="1"/>
    <col min="16" max="16" width="21.90625" customWidth="1"/>
    <col min="17" max="17" width="28.81640625" customWidth="1"/>
    <col min="18" max="18" width="34.6328125" customWidth="1"/>
    <col min="19" max="19" width="16.26953125" customWidth="1"/>
    <col min="20" max="20" width="14.7265625" customWidth="1"/>
    <col min="21" max="21" width="14.6328125" customWidth="1"/>
    <col min="22" max="22" width="35.90625" customWidth="1"/>
    <col min="23" max="23" width="18.08984375" customWidth="1"/>
    <col min="24" max="24" width="14.7265625" customWidth="1"/>
    <col min="26" max="26" width="10.7265625" customWidth="1"/>
    <col min="27" max="27" width="13.1796875" customWidth="1"/>
    <col min="28" max="28" width="17" customWidth="1"/>
    <col min="29" max="29" width="24.54296875" customWidth="1"/>
    <col min="30" max="30" width="20.7265625" customWidth="1"/>
    <col min="31" max="31" width="20.26953125" customWidth="1"/>
    <col min="32" max="32" width="25.1796875" customWidth="1"/>
    <col min="33" max="33" width="15.36328125" customWidth="1"/>
    <col min="34" max="34" width="13.6328125" customWidth="1"/>
    <col min="35" max="35" width="17.7265625" customWidth="1"/>
    <col min="36" max="36" width="11.6328125" customWidth="1"/>
    <col min="37" max="37" width="25.6328125" customWidth="1"/>
  </cols>
  <sheetData>
    <row r="1" spans="1:38" s="8" customFormat="1" ht="28.5">
      <c r="A1" s="34" t="s">
        <v>318</v>
      </c>
      <c r="B1" s="34" t="s">
        <v>1</v>
      </c>
      <c r="C1" s="34" t="s">
        <v>0</v>
      </c>
      <c r="D1" s="34" t="s">
        <v>2</v>
      </c>
      <c r="E1" s="34" t="s">
        <v>3</v>
      </c>
      <c r="F1" s="34" t="s">
        <v>4</v>
      </c>
      <c r="G1" s="34" t="s">
        <v>5</v>
      </c>
      <c r="H1" s="34" t="s">
        <v>6</v>
      </c>
      <c r="I1" s="34" t="s">
        <v>7</v>
      </c>
      <c r="J1" s="34" t="s">
        <v>8</v>
      </c>
      <c r="K1" s="34" t="s">
        <v>9</v>
      </c>
      <c r="L1" s="34" t="s">
        <v>319</v>
      </c>
      <c r="M1" s="34" t="s">
        <v>235</v>
      </c>
      <c r="N1" s="34" t="s">
        <v>320</v>
      </c>
      <c r="O1" s="34" t="s">
        <v>321</v>
      </c>
      <c r="P1" s="34" t="s">
        <v>10</v>
      </c>
      <c r="Q1" s="34" t="s">
        <v>322</v>
      </c>
      <c r="R1" s="34" t="s">
        <v>323</v>
      </c>
      <c r="S1" s="34" t="s">
        <v>11</v>
      </c>
      <c r="T1" s="34" t="s">
        <v>324</v>
      </c>
      <c r="U1" s="34" t="s">
        <v>12</v>
      </c>
      <c r="V1" s="34" t="s">
        <v>236</v>
      </c>
      <c r="W1" s="34" t="s">
        <v>13</v>
      </c>
      <c r="X1" s="34" t="s">
        <v>14</v>
      </c>
      <c r="Y1" s="34" t="s">
        <v>15</v>
      </c>
      <c r="Z1" s="8" t="s">
        <v>189</v>
      </c>
      <c r="AA1" s="8" t="s">
        <v>190</v>
      </c>
      <c r="AB1" s="8" t="s">
        <v>191</v>
      </c>
      <c r="AC1" s="8" t="s">
        <v>192</v>
      </c>
      <c r="AD1" s="8" t="s">
        <v>193</v>
      </c>
      <c r="AE1" s="8" t="s">
        <v>194</v>
      </c>
      <c r="AF1" s="8" t="s">
        <v>195</v>
      </c>
      <c r="AG1" s="8" t="s">
        <v>196</v>
      </c>
      <c r="AH1" s="8" t="s">
        <v>209</v>
      </c>
      <c r="AI1" s="8" t="s">
        <v>253</v>
      </c>
      <c r="AK1" s="2" t="s">
        <v>198</v>
      </c>
      <c r="AL1" s="3">
        <f>ROWS(tblEnrollment[Record ID])</f>
        <v>250</v>
      </c>
    </row>
    <row r="2" spans="1:38" s="6" customFormat="1" ht="29">
      <c r="A2" s="35" t="s">
        <v>325</v>
      </c>
      <c r="B2" s="35" t="s">
        <v>76</v>
      </c>
      <c r="C2" s="35" t="s">
        <v>326</v>
      </c>
      <c r="D2" s="35" t="s">
        <v>17</v>
      </c>
      <c r="E2" s="35" t="s">
        <v>99</v>
      </c>
      <c r="F2" s="35" t="s">
        <v>99</v>
      </c>
      <c r="G2" s="35" t="s">
        <v>99</v>
      </c>
      <c r="H2" s="35" t="s">
        <v>116</v>
      </c>
      <c r="I2" s="35" t="s">
        <v>129</v>
      </c>
      <c r="J2" s="35" t="s">
        <v>327</v>
      </c>
      <c r="K2" s="35" t="s">
        <v>44</v>
      </c>
      <c r="L2" s="35" t="s">
        <v>328</v>
      </c>
      <c r="M2" s="35" t="s">
        <v>55</v>
      </c>
      <c r="N2" s="35" t="s">
        <v>46</v>
      </c>
      <c r="O2" s="35" t="s">
        <v>138</v>
      </c>
      <c r="P2" s="35" t="s">
        <v>139</v>
      </c>
      <c r="Q2" s="35" t="s">
        <v>48</v>
      </c>
      <c r="R2" s="35" t="s">
        <v>140</v>
      </c>
      <c r="S2" s="36">
        <v>46145</v>
      </c>
      <c r="T2" s="36"/>
      <c r="U2" s="35" t="s">
        <v>141</v>
      </c>
      <c r="V2" s="35" t="s">
        <v>329</v>
      </c>
      <c r="W2" s="35" t="s">
        <v>330</v>
      </c>
      <c r="X2" s="36">
        <v>46176</v>
      </c>
      <c r="Y2" s="35" t="s">
        <v>331</v>
      </c>
      <c r="Z2" s="6">
        <f>IF(tblEnrollment[[#This Row],[Approved Date]]="",DATE(2026,6,3)-tblEnrollment[[#This Row],[Submitted Date]],tblEnrollment[[#This Row],[Approved Date]]-tblEnrollment[[#This Row],[Submitted Date]])</f>
        <v>31</v>
      </c>
      <c r="AA2" s="6" t="str">
        <f>IF(tblEnrollment[[#This Row],[Current Status]] ="Ready","Completed",IF(Z2&gt;21,"SLA Breached","Within SLA"))</f>
        <v>SLA Breached</v>
      </c>
      <c r="AB2" s="6" t="str">
        <f>IF(tblEnrollment[[#This Row],[Credentialed NPI]] =tblEnrollment[[#This Row],[Enrolled NPI]],"NPI Match","NPI Mismatch")</f>
        <v>NPI Match</v>
      </c>
      <c r="AC2" s="6" t="str">
        <f>IF(OR(tblEnrollment[[#This Row],[Blocker Reason]] ="Individual NPI used instead of Group NPI",tblEnrollment[[#This Row],[Blocker Reason]] ="Credentialed NPI mismatch",tblEnrollment[[#This Row],[Blocker Reason]] ="Incorrect PTAN/Provider number"),"Yes","No")</f>
        <v>No</v>
      </c>
      <c r="AD2" s="6" t="str">
        <f>IF(OR(tblEnrollment[[#This Row],[Blocker Reason]] ="Wrong Payer ID",tblEnrollment[[#This Row],[Blocker Reason]] ="Old Payer ID used"),"Yes","No")</f>
        <v>Yes</v>
      </c>
      <c r="AE2" s="6" t="str">
        <f>IF(OR(tblEnrollment[[#This Row],[Clearinghouse Portal Updated]]="No",tblEnrollment[[#This Row],[Blocker Reason]] ="Clearinghouse portal not updated"),"Yes","No")</f>
        <v>No</v>
      </c>
      <c r="AF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 s="6" t="str">
        <f>IF(OR(tblEnrollment[[#This Row],[Enrollment Type]]="Claims",tblEnrollment[[#This Row],[Enrollment Type]]="Claims and ERA"),IF(AND(tblEnrollment[[#This Row],[Credentialing Status]]="Completed",tblEnrollment[[#This Row],[Claims Enrollment Status]]="Approved",tblEnrollment[[#This Row],[Clearinghouse Configuration Status]]="Completed",AB2="NPI Match"),"Ready","Not Ready"),"Not Applicable")</f>
        <v>Not Ready</v>
      </c>
      <c r="AH2" s="6" t="str">
        <f>IF(OR(tblEnrollment[[#This Row],[Enrollment Type]]="ERA",tblEnrollment[[#This Row],[Enrollment Type]]="Claims and ERA"),IF(AND(tblEnrollment[[#This Row],[Credentialing Status]]="Completed",tblEnrollment[[#This Row],[ERA Enrollment Status]]="Approved",tblEnrollment[[#This Row],[Clearinghouse Configuration Status]]="Completed",AB2="NPI Match"),"Ready","Not Ready"),"Not Applicable")</f>
        <v>Not Applicable</v>
      </c>
      <c r="AI2" s="6" t="str">
        <f>IF(tblEnrollment[[#This Row],[Blocker Reason]] ="No Blocker","No","Yes")</f>
        <v>Yes</v>
      </c>
      <c r="AK2" s="2" t="s">
        <v>205</v>
      </c>
      <c r="AL2" s="2">
        <f>COUNTIFS(tblEnrollment[Aging Days],"&gt;21",tblEnrollment[Current Status],"&lt;&gt;Ready")</f>
        <v>158</v>
      </c>
    </row>
    <row r="3" spans="1:38" s="4" customFormat="1" ht="29">
      <c r="A3" s="35" t="s">
        <v>332</v>
      </c>
      <c r="B3" s="35" t="s">
        <v>63</v>
      </c>
      <c r="C3" s="35" t="s">
        <v>333</v>
      </c>
      <c r="D3" s="35" t="s">
        <v>18</v>
      </c>
      <c r="E3" s="35" t="s">
        <v>334</v>
      </c>
      <c r="F3" s="35" t="s">
        <v>334</v>
      </c>
      <c r="G3" s="35" t="s">
        <v>334</v>
      </c>
      <c r="H3" s="35" t="s">
        <v>335</v>
      </c>
      <c r="I3" s="35" t="s">
        <v>43</v>
      </c>
      <c r="J3" s="35" t="s">
        <v>336</v>
      </c>
      <c r="K3" s="35" t="s">
        <v>44</v>
      </c>
      <c r="L3" s="35" t="s">
        <v>337</v>
      </c>
      <c r="M3" s="35" t="s">
        <v>45</v>
      </c>
      <c r="N3" s="35" t="s">
        <v>46</v>
      </c>
      <c r="O3" s="35" t="s">
        <v>138</v>
      </c>
      <c r="P3" s="35" t="s">
        <v>138</v>
      </c>
      <c r="Q3" s="35" t="s">
        <v>48</v>
      </c>
      <c r="R3" s="35" t="s">
        <v>140</v>
      </c>
      <c r="S3" s="36">
        <v>46093</v>
      </c>
      <c r="T3" s="36"/>
      <c r="U3" s="35" t="s">
        <v>141</v>
      </c>
      <c r="V3" s="35" t="s">
        <v>329</v>
      </c>
      <c r="W3" s="35" t="s">
        <v>338</v>
      </c>
      <c r="X3" s="36">
        <v>46183</v>
      </c>
      <c r="Y3" s="35" t="s">
        <v>331</v>
      </c>
      <c r="Z3" s="4">
        <f>IF(tblEnrollment[[#This Row],[Approved Date]]="",DATE(2026,6,3)-tblEnrollment[[#This Row],[Submitted Date]],tblEnrollment[[#This Row],[Approved Date]]-tblEnrollment[[#This Row],[Submitted Date]])</f>
        <v>83</v>
      </c>
      <c r="AA3" s="4" t="str">
        <f>IF(tblEnrollment[[#This Row],[Current Status]] ="Ready","Completed",IF(Z3&gt;21,"SLA Breached","Within SLA"))</f>
        <v>SLA Breached</v>
      </c>
      <c r="AB3" s="4" t="str">
        <f>IF(tblEnrollment[[#This Row],[Credentialed NPI]] =tblEnrollment[[#This Row],[Enrolled NPI]],"NPI Match","NPI Mismatch")</f>
        <v>NPI Match</v>
      </c>
      <c r="AC3" s="4" t="str">
        <f>IF(OR(tblEnrollment[[#This Row],[Blocker Reason]] ="Individual NPI used instead of Group NPI",tblEnrollment[[#This Row],[Blocker Reason]] ="Credentialed NPI mismatch",tblEnrollment[[#This Row],[Blocker Reason]] ="Incorrect PTAN/Provider number"),"Yes","No")</f>
        <v>No</v>
      </c>
      <c r="AD3" s="4" t="str">
        <f>IF(OR(tblEnrollment[[#This Row],[Blocker Reason]] ="Wrong Payer ID",tblEnrollment[[#This Row],[Blocker Reason]] ="Old Payer ID used"),"Yes","No")</f>
        <v>Yes</v>
      </c>
      <c r="AE3" s="4" t="str">
        <f>IF(OR(tblEnrollment[[#This Row],[Clearinghouse Portal Updated]]="No",tblEnrollment[[#This Row],[Blocker Reason]] ="Clearinghouse portal not updated"),"Yes","No")</f>
        <v>No</v>
      </c>
      <c r="AF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Status]]="Completed",AB3="NPI Match"),"Ready","Not Ready"),"Not Applicable")</f>
        <v>Not Ready</v>
      </c>
      <c r="AH3" s="4" t="str">
        <f>IF(OR(tblEnrollment[[#This Row],[Enrollment Type]]="ERA",tblEnrollment[[#This Row],[Enrollment Type]]="Claims and ERA"),IF(AND(tblEnrollment[[#This Row],[Credentialing Status]]="Completed",tblEnrollment[[#This Row],[ERA Enrollment Status]]="Approved",tblEnrollment[[#This Row],[Clearinghouse Configuration Status]]="Completed",AB3="NPI Match"),"Ready","Not Ready"),"Not Applicable")</f>
        <v>Not Ready</v>
      </c>
      <c r="AI3" s="4" t="str">
        <f>IF(tblEnrollment[[#This Row],[Blocker Reason]] ="No Blocker","No","Yes")</f>
        <v>Yes</v>
      </c>
      <c r="AK3" s="2" t="s">
        <v>199</v>
      </c>
      <c r="AL3" s="2">
        <f>COUNTBLANK(tblEnrollment[Record ID])</f>
        <v>0</v>
      </c>
    </row>
    <row r="4" spans="1:38" s="4" customFormat="1" ht="29">
      <c r="A4" s="35" t="s">
        <v>339</v>
      </c>
      <c r="B4" s="35" t="s">
        <v>340</v>
      </c>
      <c r="C4" s="35" t="s">
        <v>341</v>
      </c>
      <c r="D4" s="35" t="s">
        <v>19</v>
      </c>
      <c r="E4" s="35" t="s">
        <v>92</v>
      </c>
      <c r="F4" s="35" t="s">
        <v>92</v>
      </c>
      <c r="G4" s="35" t="s">
        <v>92</v>
      </c>
      <c r="H4" s="35" t="s">
        <v>116</v>
      </c>
      <c r="I4" s="35" t="s">
        <v>131</v>
      </c>
      <c r="J4" s="35" t="s">
        <v>342</v>
      </c>
      <c r="K4" s="35" t="s">
        <v>53</v>
      </c>
      <c r="L4" s="35" t="s">
        <v>54</v>
      </c>
      <c r="M4" s="35" t="s">
        <v>136</v>
      </c>
      <c r="N4" s="35" t="s">
        <v>46</v>
      </c>
      <c r="O4" s="35" t="s">
        <v>139</v>
      </c>
      <c r="P4" s="35" t="s">
        <v>56</v>
      </c>
      <c r="Q4" s="35" t="s">
        <v>58</v>
      </c>
      <c r="R4" s="35" t="s">
        <v>56</v>
      </c>
      <c r="S4" s="36">
        <v>46092</v>
      </c>
      <c r="T4" s="36"/>
      <c r="U4" s="35" t="s">
        <v>56</v>
      </c>
      <c r="V4" s="35" t="s">
        <v>143</v>
      </c>
      <c r="W4" s="35" t="s">
        <v>330</v>
      </c>
      <c r="X4" s="36">
        <v>46181</v>
      </c>
      <c r="Y4" s="35" t="s">
        <v>343</v>
      </c>
      <c r="Z4" s="4">
        <f>IF(tblEnrollment[[#This Row],[Approved Date]]="",DATE(2026,6,3)-tblEnrollment[[#This Row],[Submitted Date]],tblEnrollment[[#This Row],[Approved Date]]-tblEnrollment[[#This Row],[Submitted Date]])</f>
        <v>84</v>
      </c>
      <c r="AA4" s="4" t="str">
        <f>IF(tblEnrollment[[#This Row],[Current Status]] ="Ready","Completed",IF(Z4&gt;21,"SLA Breached","Within SLA"))</f>
        <v>SLA Breached</v>
      </c>
      <c r="AB4" s="4" t="str">
        <f>IF(tblEnrollment[[#This Row],[Credentialed NPI]] =tblEnrollment[[#This Row],[Enrolled NPI]],"NPI Match","NPI Mismatch")</f>
        <v>NPI Match</v>
      </c>
      <c r="AC4" s="4" t="str">
        <f>IF(OR(tblEnrollment[[#This Row],[Blocker Reason]] ="Individual NPI used instead of Group NPI",tblEnrollment[[#This Row],[Blocker Reason]] ="Credentialed NPI mismatch",tblEnrollment[[#This Row],[Blocker Reason]] ="Incorrect PTAN/Provider number"),"Yes","No")</f>
        <v>No</v>
      </c>
      <c r="AD4" s="4" t="str">
        <f>IF(OR(tblEnrollment[[#This Row],[Blocker Reason]] ="Wrong Payer ID",tblEnrollment[[#This Row],[Blocker Reason]] ="Old Payer ID used"),"Yes","No")</f>
        <v>No</v>
      </c>
      <c r="AE4" s="4" t="str">
        <f>IF(OR(tblEnrollment[[#This Row],[Clearinghouse Portal Updated]]="No",tblEnrollment[[#This Row],[Blocker Reason]] ="Clearinghouse portal not updated"),"Yes","No")</f>
        <v>Yes</v>
      </c>
      <c r="AF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Status]]="Completed",AB4="NPI Match"),"Ready","Not Ready"),"Not Applicable")</f>
        <v>Not Applicable</v>
      </c>
      <c r="AH4" s="4" t="str">
        <f>IF(OR(tblEnrollment[[#This Row],[Enrollment Type]]="ERA",tblEnrollment[[#This Row],[Enrollment Type]]="Claims and ERA"),IF(AND(tblEnrollment[[#This Row],[Credentialing Status]]="Completed",tblEnrollment[[#This Row],[ERA Enrollment Status]]="Approved",tblEnrollment[[#This Row],[Clearinghouse Configuration Status]]="Completed",AB4="NPI Match"),"Ready","Not Ready"),"Not Applicable")</f>
        <v>Not Ready</v>
      </c>
      <c r="AI4" s="4" t="str">
        <f>IF(tblEnrollment[[#This Row],[Blocker Reason]] ="No Blocker","No","Yes")</f>
        <v>Yes</v>
      </c>
      <c r="AK4" s="2" t="s">
        <v>200</v>
      </c>
      <c r="AL4" s="2">
        <f>COUNTBLANK(tblEnrollment[Payer Name])</f>
        <v>0</v>
      </c>
    </row>
    <row r="5" spans="1:38" s="4" customFormat="1" ht="29">
      <c r="A5" s="35" t="s">
        <v>344</v>
      </c>
      <c r="B5" s="35" t="s">
        <v>69</v>
      </c>
      <c r="C5" s="35" t="s">
        <v>345</v>
      </c>
      <c r="D5" s="35" t="s">
        <v>20</v>
      </c>
      <c r="E5" s="35" t="s">
        <v>104</v>
      </c>
      <c r="F5" s="35" t="s">
        <v>104</v>
      </c>
      <c r="G5" s="35" t="s">
        <v>104</v>
      </c>
      <c r="H5" s="35" t="s">
        <v>115</v>
      </c>
      <c r="I5" s="35" t="s">
        <v>346</v>
      </c>
      <c r="J5" s="35" t="s">
        <v>347</v>
      </c>
      <c r="K5" s="35" t="s">
        <v>53</v>
      </c>
      <c r="L5" s="35" t="s">
        <v>54</v>
      </c>
      <c r="M5" s="35" t="s">
        <v>136</v>
      </c>
      <c r="N5" s="35" t="s">
        <v>46</v>
      </c>
      <c r="O5" s="35" t="s">
        <v>139</v>
      </c>
      <c r="P5" s="35" t="s">
        <v>47</v>
      </c>
      <c r="Q5" s="35" t="s">
        <v>48</v>
      </c>
      <c r="R5" s="35" t="s">
        <v>46</v>
      </c>
      <c r="S5" s="36">
        <v>46154</v>
      </c>
      <c r="T5" s="36">
        <v>46169</v>
      </c>
      <c r="U5" s="35" t="s">
        <v>49</v>
      </c>
      <c r="V5" s="35" t="s">
        <v>348</v>
      </c>
      <c r="W5" s="35" t="s">
        <v>349</v>
      </c>
      <c r="X5" s="36">
        <v>46177</v>
      </c>
      <c r="Y5" s="35" t="s">
        <v>350</v>
      </c>
      <c r="Z5" s="4">
        <f>IF(tblEnrollment[[#This Row],[Approved Date]]="",DATE(2026,6,3)-tblEnrollment[[#This Row],[Submitted Date]],tblEnrollment[[#This Row],[Approved Date]]-tblEnrollment[[#This Row],[Submitted Date]])</f>
        <v>15</v>
      </c>
      <c r="AA5" s="4" t="str">
        <f>IF(tblEnrollment[[#This Row],[Current Status]] ="Ready","Completed",IF(Z5&gt;21,"SLA Breached","Within SLA"))</f>
        <v>Completed</v>
      </c>
      <c r="AB5" s="4" t="str">
        <f>IF(tblEnrollment[[#This Row],[Credentialed NPI]] =tblEnrollment[[#This Row],[Enrolled NPI]],"NPI Match","NPI Mismatch")</f>
        <v>NPI Match</v>
      </c>
      <c r="AC5" s="4" t="str">
        <f>IF(OR(tblEnrollment[[#This Row],[Blocker Reason]] ="Individual NPI used instead of Group NPI",tblEnrollment[[#This Row],[Blocker Reason]] ="Credentialed NPI mismatch",tblEnrollment[[#This Row],[Blocker Reason]] ="Incorrect PTAN/Provider number"),"Yes","No")</f>
        <v>No</v>
      </c>
      <c r="AD5" s="4" t="str">
        <f>IF(OR(tblEnrollment[[#This Row],[Blocker Reason]] ="Wrong Payer ID",tblEnrollment[[#This Row],[Blocker Reason]] ="Old Payer ID used"),"Yes","No")</f>
        <v>No</v>
      </c>
      <c r="AE5" s="4" t="str">
        <f>IF(OR(tblEnrollment[[#This Row],[Clearinghouse Portal Updated]]="No",tblEnrollment[[#This Row],[Blocker Reason]] ="Clearinghouse portal not updated"),"Yes","No")</f>
        <v>No</v>
      </c>
      <c r="AF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Status]]="Completed",AB5="NPI Match"),"Ready","Not Ready"),"Not Applicable")</f>
        <v>Not Applicable</v>
      </c>
      <c r="AH5" s="4" t="str">
        <f>IF(OR(tblEnrollment[[#This Row],[Enrollment Type]]="ERA",tblEnrollment[[#This Row],[Enrollment Type]]="Claims and ERA"),IF(AND(tblEnrollment[[#This Row],[Credentialing Status]]="Completed",tblEnrollment[[#This Row],[ERA Enrollment Status]]="Approved",tblEnrollment[[#This Row],[Clearinghouse Configuration Status]]="Completed",AB5="NPI Match"),"Ready","Not Ready"),"Not Applicable")</f>
        <v>Ready</v>
      </c>
      <c r="AI5" s="4" t="str">
        <f>IF(tblEnrollment[[#This Row],[Blocker Reason]] ="No Blocker","No","Yes")</f>
        <v>No</v>
      </c>
      <c r="AK5" s="2" t="s">
        <v>201</v>
      </c>
      <c r="AL5" s="2">
        <f>COUNTBLANK(tblEnrollment[[#Headers],[#Data],[Provider Name]])</f>
        <v>0</v>
      </c>
    </row>
    <row r="6" spans="1:38" s="4" customFormat="1" ht="29">
      <c r="A6" s="35" t="s">
        <v>351</v>
      </c>
      <c r="B6" s="35" t="s">
        <v>73</v>
      </c>
      <c r="C6" s="35" t="s">
        <v>352</v>
      </c>
      <c r="D6" s="35" t="s">
        <v>21</v>
      </c>
      <c r="E6" s="35" t="s">
        <v>353</v>
      </c>
      <c r="F6" s="35" t="s">
        <v>353</v>
      </c>
      <c r="G6" s="35" t="s">
        <v>353</v>
      </c>
      <c r="H6" s="35" t="s">
        <v>110</v>
      </c>
      <c r="I6" s="35" t="s">
        <v>346</v>
      </c>
      <c r="J6" s="35" t="s">
        <v>347</v>
      </c>
      <c r="K6" s="35" t="s">
        <v>53</v>
      </c>
      <c r="L6" s="35" t="s">
        <v>54</v>
      </c>
      <c r="M6" s="35" t="s">
        <v>45</v>
      </c>
      <c r="N6" s="35" t="s">
        <v>46</v>
      </c>
      <c r="O6" s="35" t="s">
        <v>47</v>
      </c>
      <c r="P6" s="35" t="s">
        <v>56</v>
      </c>
      <c r="Q6" s="35" t="s">
        <v>58</v>
      </c>
      <c r="R6" s="35" t="s">
        <v>56</v>
      </c>
      <c r="S6" s="36">
        <v>46086</v>
      </c>
      <c r="T6" s="36"/>
      <c r="U6" s="35" t="s">
        <v>56</v>
      </c>
      <c r="V6" s="35" t="s">
        <v>143</v>
      </c>
      <c r="W6" s="35" t="s">
        <v>330</v>
      </c>
      <c r="X6" s="36">
        <v>46187</v>
      </c>
      <c r="Y6" s="35" t="s">
        <v>343</v>
      </c>
      <c r="Z6" s="4">
        <f>IF(tblEnrollment[[#This Row],[Approved Date]]="",DATE(2026,6,3)-tblEnrollment[[#This Row],[Submitted Date]],tblEnrollment[[#This Row],[Approved Date]]-tblEnrollment[[#This Row],[Submitted Date]])</f>
        <v>90</v>
      </c>
      <c r="AA6" s="4" t="str">
        <f>IF(tblEnrollment[[#This Row],[Current Status]] ="Ready","Completed",IF(Z6&gt;21,"SLA Breached","Within SLA"))</f>
        <v>SLA Breached</v>
      </c>
      <c r="AB6" s="4" t="str">
        <f>IF(tblEnrollment[[#This Row],[Credentialed NPI]] =tblEnrollment[[#This Row],[Enrolled NPI]],"NPI Match","NPI Mismatch")</f>
        <v>NPI Match</v>
      </c>
      <c r="AC6" s="4" t="str">
        <f>IF(OR(tblEnrollment[[#This Row],[Blocker Reason]] ="Individual NPI used instead of Group NPI",tblEnrollment[[#This Row],[Blocker Reason]] ="Credentialed NPI mismatch",tblEnrollment[[#This Row],[Blocker Reason]] ="Incorrect PTAN/Provider number"),"Yes","No")</f>
        <v>No</v>
      </c>
      <c r="AD6" s="4" t="str">
        <f>IF(OR(tblEnrollment[[#This Row],[Blocker Reason]] ="Wrong Payer ID",tblEnrollment[[#This Row],[Blocker Reason]] ="Old Payer ID used"),"Yes","No")</f>
        <v>No</v>
      </c>
      <c r="AE6" s="4" t="str">
        <f>IF(OR(tblEnrollment[[#This Row],[Clearinghouse Portal Updated]]="No",tblEnrollment[[#This Row],[Blocker Reason]] ="Clearinghouse portal not updated"),"Yes","No")</f>
        <v>Yes</v>
      </c>
      <c r="AF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Status]]="Completed",AB6="NPI Match"),"Ready","Not Ready"),"Not Applicable")</f>
        <v>Not Ready</v>
      </c>
      <c r="AH6" s="4" t="str">
        <f>IF(OR(tblEnrollment[[#This Row],[Enrollment Type]]="ERA",tblEnrollment[[#This Row],[Enrollment Type]]="Claims and ERA"),IF(AND(tblEnrollment[[#This Row],[Credentialing Status]]="Completed",tblEnrollment[[#This Row],[ERA Enrollment Status]]="Approved",tblEnrollment[[#This Row],[Clearinghouse Configuration Status]]="Completed",AB6="NPI Match"),"Ready","Not Ready"),"Not Applicable")</f>
        <v>Not Ready</v>
      </c>
      <c r="AI6" s="4" t="str">
        <f>IF(tblEnrollment[[#This Row],[Blocker Reason]] ="No Blocker","No","Yes")</f>
        <v>Yes</v>
      </c>
      <c r="AK6" s="2" t="s">
        <v>202</v>
      </c>
      <c r="AL6" s="2">
        <f>COUNTBLANK(tblEnrollment[Submitted Date])</f>
        <v>0</v>
      </c>
    </row>
    <row r="7" spans="1:38" s="4" customFormat="1" ht="29">
      <c r="A7" s="35" t="s">
        <v>354</v>
      </c>
      <c r="B7" s="35" t="s">
        <v>77</v>
      </c>
      <c r="C7" s="35" t="s">
        <v>355</v>
      </c>
      <c r="D7" s="35" t="s">
        <v>22</v>
      </c>
      <c r="E7" s="35" t="s">
        <v>100</v>
      </c>
      <c r="F7" s="35" t="s">
        <v>100</v>
      </c>
      <c r="G7" s="35" t="s">
        <v>100</v>
      </c>
      <c r="H7" s="35" t="s">
        <v>356</v>
      </c>
      <c r="I7" s="35" t="s">
        <v>43</v>
      </c>
      <c r="J7" s="35" t="s">
        <v>357</v>
      </c>
      <c r="K7" s="35" t="s">
        <v>44</v>
      </c>
      <c r="L7" s="35" t="s">
        <v>358</v>
      </c>
      <c r="M7" s="35" t="s">
        <v>45</v>
      </c>
      <c r="N7" s="35" t="s">
        <v>46</v>
      </c>
      <c r="O7" s="35" t="s">
        <v>56</v>
      </c>
      <c r="P7" s="35" t="s">
        <v>56</v>
      </c>
      <c r="Q7" s="35" t="s">
        <v>48</v>
      </c>
      <c r="R7" s="35" t="s">
        <v>137</v>
      </c>
      <c r="S7" s="36">
        <v>46134</v>
      </c>
      <c r="T7" s="36"/>
      <c r="U7" s="35" t="s">
        <v>56</v>
      </c>
      <c r="V7" s="35" t="s">
        <v>148</v>
      </c>
      <c r="W7" s="35" t="s">
        <v>349</v>
      </c>
      <c r="X7" s="36">
        <v>46180</v>
      </c>
      <c r="Y7" s="35" t="s">
        <v>359</v>
      </c>
      <c r="Z7" s="4">
        <f>IF(tblEnrollment[[#This Row],[Approved Date]]="",DATE(2026,6,3)-tblEnrollment[[#This Row],[Submitted Date]],tblEnrollment[[#This Row],[Approved Date]]-tblEnrollment[[#This Row],[Submitted Date]])</f>
        <v>42</v>
      </c>
      <c r="AA7" s="4" t="str">
        <f>IF(tblEnrollment[[#This Row],[Current Status]] ="Ready","Completed",IF(Z7&gt;21,"SLA Breached","Within SLA"))</f>
        <v>SLA Breached</v>
      </c>
      <c r="AB7" s="4" t="str">
        <f>IF(tblEnrollment[[#This Row],[Credentialed NPI]] =tblEnrollment[[#This Row],[Enrolled NPI]],"NPI Match","NPI Mismatch")</f>
        <v>NPI Match</v>
      </c>
      <c r="AC7" s="4" t="str">
        <f>IF(OR(tblEnrollment[[#This Row],[Blocker Reason]] ="Individual NPI used instead of Group NPI",tblEnrollment[[#This Row],[Blocker Reason]] ="Credentialed NPI mismatch",tblEnrollment[[#This Row],[Blocker Reason]] ="Incorrect PTAN/Provider number"),"Yes","No")</f>
        <v>No</v>
      </c>
      <c r="AD7" s="4" t="str">
        <f>IF(OR(tblEnrollment[[#This Row],[Blocker Reason]] ="Wrong Payer ID",tblEnrollment[[#This Row],[Blocker Reason]] ="Old Payer ID used"),"Yes","No")</f>
        <v>No</v>
      </c>
      <c r="AE7" s="4" t="str">
        <f>IF(OR(tblEnrollment[[#This Row],[Clearinghouse Portal Updated]]="No",tblEnrollment[[#This Row],[Blocker Reason]] ="Clearinghouse portal not updated"),"Yes","No")</f>
        <v>No</v>
      </c>
      <c r="AF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Status]]="Completed",AB7="NPI Match"),"Ready","Not Ready"),"Not Applicable")</f>
        <v>Not Ready</v>
      </c>
      <c r="AH7" s="4" t="str">
        <f>IF(OR(tblEnrollment[[#This Row],[Enrollment Type]]="ERA",tblEnrollment[[#This Row],[Enrollment Type]]="Claims and ERA"),IF(AND(tblEnrollment[[#This Row],[Credentialing Status]]="Completed",tblEnrollment[[#This Row],[ERA Enrollment Status]]="Approved",tblEnrollment[[#This Row],[Clearinghouse Configuration Status]]="Completed",AB7="NPI Match"),"Ready","Not Ready"),"Not Applicable")</f>
        <v>Not Ready</v>
      </c>
      <c r="AI7" s="4" t="str">
        <f>IF(tblEnrollment[[#This Row],[Blocker Reason]] ="No Blocker","No","Yes")</f>
        <v>Yes</v>
      </c>
      <c r="AK7" s="2" t="s">
        <v>203</v>
      </c>
      <c r="AL7" s="2">
        <f>COUNTBLANK(tblEnrollment[Current Status])</f>
        <v>0</v>
      </c>
    </row>
    <row r="8" spans="1:38" s="4" customFormat="1" ht="29">
      <c r="A8" s="35" t="s">
        <v>360</v>
      </c>
      <c r="B8" s="35" t="s">
        <v>361</v>
      </c>
      <c r="C8" s="35" t="s">
        <v>362</v>
      </c>
      <c r="D8" s="35" t="s">
        <v>23</v>
      </c>
      <c r="E8" s="35" t="s">
        <v>95</v>
      </c>
      <c r="F8" s="35" t="s">
        <v>95</v>
      </c>
      <c r="G8" s="35" t="s">
        <v>95</v>
      </c>
      <c r="H8" s="35" t="s">
        <v>363</v>
      </c>
      <c r="I8" s="35" t="s">
        <v>131</v>
      </c>
      <c r="J8" s="35" t="s">
        <v>342</v>
      </c>
      <c r="K8" s="35" t="s">
        <v>53</v>
      </c>
      <c r="L8" s="35" t="s">
        <v>54</v>
      </c>
      <c r="M8" s="35" t="s">
        <v>136</v>
      </c>
      <c r="N8" s="35" t="s">
        <v>46</v>
      </c>
      <c r="O8" s="35" t="s">
        <v>139</v>
      </c>
      <c r="P8" s="35" t="s">
        <v>56</v>
      </c>
      <c r="Q8" s="35" t="s">
        <v>48</v>
      </c>
      <c r="R8" s="35" t="s">
        <v>137</v>
      </c>
      <c r="S8" s="36">
        <v>46055</v>
      </c>
      <c r="T8" s="36"/>
      <c r="U8" s="35" t="s">
        <v>56</v>
      </c>
      <c r="V8" s="35" t="s">
        <v>364</v>
      </c>
      <c r="W8" s="35" t="s">
        <v>365</v>
      </c>
      <c r="X8" s="36">
        <v>46185</v>
      </c>
      <c r="Y8" s="35" t="s">
        <v>366</v>
      </c>
      <c r="Z8" s="4">
        <f>IF(tblEnrollment[[#This Row],[Approved Date]]="",DATE(2026,6,3)-tblEnrollment[[#This Row],[Submitted Date]],tblEnrollment[[#This Row],[Approved Date]]-tblEnrollment[[#This Row],[Submitted Date]])</f>
        <v>121</v>
      </c>
      <c r="AA8" s="4" t="str">
        <f>IF(tblEnrollment[[#This Row],[Current Status]] ="Ready","Completed",IF(Z8&gt;21,"SLA Breached","Within SLA"))</f>
        <v>SLA Breached</v>
      </c>
      <c r="AB8" s="4" t="str">
        <f>IF(tblEnrollment[[#This Row],[Credentialed NPI]] =tblEnrollment[[#This Row],[Enrolled NPI]],"NPI Match","NPI Mismatch")</f>
        <v>NPI Match</v>
      </c>
      <c r="AC8" s="4" t="str">
        <f>IF(OR(tblEnrollment[[#This Row],[Blocker Reason]] ="Individual NPI used instead of Group NPI",tblEnrollment[[#This Row],[Blocker Reason]] ="Credentialed NPI mismatch",tblEnrollment[[#This Row],[Blocker Reason]] ="Incorrect PTAN/Provider number"),"Yes","No")</f>
        <v>No</v>
      </c>
      <c r="AD8" s="4" t="str">
        <f>IF(OR(tblEnrollment[[#This Row],[Blocker Reason]] ="Wrong Payer ID",tblEnrollment[[#This Row],[Blocker Reason]] ="Old Payer ID used"),"Yes","No")</f>
        <v>No</v>
      </c>
      <c r="AE8" s="4" t="str">
        <f>IF(OR(tblEnrollment[[#This Row],[Clearinghouse Portal Updated]]="No",tblEnrollment[[#This Row],[Blocker Reason]] ="Clearinghouse portal not updated"),"Yes","No")</f>
        <v>No</v>
      </c>
      <c r="AF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Status]]="Completed",AB8="NPI Match"),"Ready","Not Ready"),"Not Applicable")</f>
        <v>Not Applicable</v>
      </c>
      <c r="AH8" s="4" t="str">
        <f>IF(OR(tblEnrollment[[#This Row],[Enrollment Type]]="ERA",tblEnrollment[[#This Row],[Enrollment Type]]="Claims and ERA"),IF(AND(tblEnrollment[[#This Row],[Credentialing Status]]="Completed",tblEnrollment[[#This Row],[ERA Enrollment Status]]="Approved",tblEnrollment[[#This Row],[Clearinghouse Configuration Status]]="Completed",AB8="NPI Match"),"Ready","Not Ready"),"Not Applicable")</f>
        <v>Not Ready</v>
      </c>
      <c r="AI8" s="4" t="str">
        <f>IF(tblEnrollment[[#This Row],[Blocker Reason]] ="No Blocker","No","Yes")</f>
        <v>Yes</v>
      </c>
      <c r="AK8" s="2" t="s">
        <v>204</v>
      </c>
      <c r="AL8" s="2">
        <f>COUNTIF(tblEnrollment[NPI Match Status],"NPI Mismatch")</f>
        <v>59</v>
      </c>
    </row>
    <row r="9" spans="1:38" s="4" customFormat="1" ht="29">
      <c r="A9" s="35" t="s">
        <v>367</v>
      </c>
      <c r="B9" s="35" t="s">
        <v>361</v>
      </c>
      <c r="C9" s="35" t="s">
        <v>368</v>
      </c>
      <c r="D9" s="35" t="s">
        <v>24</v>
      </c>
      <c r="E9" s="35" t="s">
        <v>99</v>
      </c>
      <c r="F9" s="35" t="s">
        <v>99</v>
      </c>
      <c r="G9" s="35" t="s">
        <v>99</v>
      </c>
      <c r="H9" s="35" t="s">
        <v>109</v>
      </c>
      <c r="I9" s="35" t="s">
        <v>131</v>
      </c>
      <c r="J9" s="35" t="s">
        <v>342</v>
      </c>
      <c r="K9" s="35" t="s">
        <v>53</v>
      </c>
      <c r="L9" s="35" t="s">
        <v>54</v>
      </c>
      <c r="M9" s="35" t="s">
        <v>45</v>
      </c>
      <c r="N9" s="35" t="s">
        <v>46</v>
      </c>
      <c r="O9" s="35" t="s">
        <v>47</v>
      </c>
      <c r="P9" s="35" t="s">
        <v>47</v>
      </c>
      <c r="Q9" s="35" t="s">
        <v>48</v>
      </c>
      <c r="R9" s="35" t="s">
        <v>46</v>
      </c>
      <c r="S9" s="36">
        <v>46120</v>
      </c>
      <c r="T9" s="36">
        <v>46140</v>
      </c>
      <c r="U9" s="35" t="s">
        <v>49</v>
      </c>
      <c r="V9" s="35" t="s">
        <v>348</v>
      </c>
      <c r="W9" s="35" t="s">
        <v>365</v>
      </c>
      <c r="X9" s="36">
        <v>46176</v>
      </c>
      <c r="Y9" s="35" t="s">
        <v>350</v>
      </c>
      <c r="Z9" s="4">
        <f>IF(tblEnrollment[[#This Row],[Approved Date]]="",DATE(2026,6,3)-tblEnrollment[[#This Row],[Submitted Date]],tblEnrollment[[#This Row],[Approved Date]]-tblEnrollment[[#This Row],[Submitted Date]])</f>
        <v>20</v>
      </c>
      <c r="AA9" s="4" t="str">
        <f>IF(tblEnrollment[[#This Row],[Current Status]] ="Ready","Completed",IF(Z9&gt;21,"SLA Breached","Within SLA"))</f>
        <v>Completed</v>
      </c>
      <c r="AB9" s="4" t="str">
        <f>IF(tblEnrollment[[#This Row],[Credentialed NPI]] =tblEnrollment[[#This Row],[Enrolled NPI]],"NPI Match","NPI Mismatch")</f>
        <v>NPI Match</v>
      </c>
      <c r="AC9" s="4" t="str">
        <f>IF(OR(tblEnrollment[[#This Row],[Blocker Reason]] ="Individual NPI used instead of Group NPI",tblEnrollment[[#This Row],[Blocker Reason]] ="Credentialed NPI mismatch",tblEnrollment[[#This Row],[Blocker Reason]] ="Incorrect PTAN/Provider number"),"Yes","No")</f>
        <v>No</v>
      </c>
      <c r="AD9" s="4" t="str">
        <f>IF(OR(tblEnrollment[[#This Row],[Blocker Reason]] ="Wrong Payer ID",tblEnrollment[[#This Row],[Blocker Reason]] ="Old Payer ID used"),"Yes","No")</f>
        <v>No</v>
      </c>
      <c r="AE9" s="4" t="str">
        <f>IF(OR(tblEnrollment[[#This Row],[Clearinghouse Portal Updated]]="No",tblEnrollment[[#This Row],[Blocker Reason]] ="Clearinghouse portal not updated"),"Yes","No")</f>
        <v>No</v>
      </c>
      <c r="AF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Status]]="Completed",AB9="NPI Match"),"Ready","Not Ready"),"Not Applicable")</f>
        <v>Ready</v>
      </c>
      <c r="AH9" s="4" t="str">
        <f>IF(OR(tblEnrollment[[#This Row],[Enrollment Type]]="ERA",tblEnrollment[[#This Row],[Enrollment Type]]="Claims and ERA"),IF(AND(tblEnrollment[[#This Row],[Credentialing Status]]="Completed",tblEnrollment[[#This Row],[ERA Enrollment Status]]="Approved",tblEnrollment[[#This Row],[Clearinghouse Configuration Status]]="Completed",AB9="NPI Match"),"Ready","Not Ready"),"Not Applicable")</f>
        <v>Ready</v>
      </c>
      <c r="AI9" s="4" t="str">
        <f>IF(tblEnrollment[[#This Row],[Blocker Reason]] ="No Blocker","No","Yes")</f>
        <v>No</v>
      </c>
      <c r="AK9" s="2" t="s">
        <v>206</v>
      </c>
      <c r="AL9" s="2">
        <f>COUNTIF(tblEnrollment[SLA Status],"=SLA Breached")</f>
        <v>158</v>
      </c>
    </row>
    <row r="10" spans="1:38" s="4" customFormat="1" ht="29">
      <c r="A10" s="35" t="s">
        <v>369</v>
      </c>
      <c r="B10" s="35" t="s">
        <v>340</v>
      </c>
      <c r="C10" s="35" t="s">
        <v>370</v>
      </c>
      <c r="D10" s="35" t="s">
        <v>25</v>
      </c>
      <c r="E10" s="35" t="s">
        <v>99</v>
      </c>
      <c r="F10" s="35" t="s">
        <v>99</v>
      </c>
      <c r="G10" s="35" t="s">
        <v>99</v>
      </c>
      <c r="H10" s="35" t="s">
        <v>371</v>
      </c>
      <c r="I10" s="35" t="s">
        <v>43</v>
      </c>
      <c r="J10" s="35" t="s">
        <v>357</v>
      </c>
      <c r="K10" s="35" t="s">
        <v>44</v>
      </c>
      <c r="L10" s="35" t="s">
        <v>372</v>
      </c>
      <c r="M10" s="35" t="s">
        <v>55</v>
      </c>
      <c r="N10" s="35" t="s">
        <v>46</v>
      </c>
      <c r="O10" s="35" t="s">
        <v>138</v>
      </c>
      <c r="P10" s="35" t="s">
        <v>139</v>
      </c>
      <c r="Q10" s="35" t="s">
        <v>48</v>
      </c>
      <c r="R10" s="35" t="s">
        <v>137</v>
      </c>
      <c r="S10" s="36">
        <v>46117</v>
      </c>
      <c r="T10" s="36"/>
      <c r="U10" s="35" t="s">
        <v>56</v>
      </c>
      <c r="V10" s="35" t="s">
        <v>151</v>
      </c>
      <c r="W10" s="35" t="s">
        <v>349</v>
      </c>
      <c r="X10" s="36">
        <v>46179</v>
      </c>
      <c r="Y10" s="35" t="s">
        <v>373</v>
      </c>
      <c r="Z10" s="4">
        <f>IF(tblEnrollment[[#This Row],[Approved Date]]="",DATE(2026,6,3)-tblEnrollment[[#This Row],[Submitted Date]],tblEnrollment[[#This Row],[Approved Date]]-tblEnrollment[[#This Row],[Submitted Date]])</f>
        <v>59</v>
      </c>
      <c r="AA10" s="4" t="str">
        <f>IF(tblEnrollment[[#This Row],[Current Status]] ="Ready","Completed",IF(Z10&gt;21,"SLA Breached","Within SLA"))</f>
        <v>SLA Breached</v>
      </c>
      <c r="AB10" s="4" t="str">
        <f>IF(tblEnrollment[[#This Row],[Credentialed NPI]] =tblEnrollment[[#This Row],[Enrolled NPI]],"NPI Match","NPI Mismatch")</f>
        <v>NPI Match</v>
      </c>
      <c r="AC10" s="4" t="str">
        <f>IF(OR(tblEnrollment[[#This Row],[Blocker Reason]] ="Individual NPI used instead of Group NPI",tblEnrollment[[#This Row],[Blocker Reason]] ="Credentialed NPI mismatch",tblEnrollment[[#This Row],[Blocker Reason]] ="Incorrect PTAN/Provider number"),"Yes","No")</f>
        <v>No</v>
      </c>
      <c r="AD10" s="4" t="str">
        <f>IF(OR(tblEnrollment[[#This Row],[Blocker Reason]] ="Wrong Payer ID",tblEnrollment[[#This Row],[Blocker Reason]] ="Old Payer ID used"),"Yes","No")</f>
        <v>No</v>
      </c>
      <c r="AE10" s="4" t="str">
        <f>IF(OR(tblEnrollment[[#This Row],[Clearinghouse Portal Updated]]="No",tblEnrollment[[#This Row],[Blocker Reason]] ="Clearinghouse portal not updated"),"Yes","No")</f>
        <v>No</v>
      </c>
      <c r="AF1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Yes</v>
      </c>
      <c r="AG1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Status]]="Completed",AB10="NPI Match"),"Ready","Not Ready"),"Not Applicable")</f>
        <v>Not Ready</v>
      </c>
      <c r="AH10" s="4" t="str">
        <f>IF(OR(tblEnrollment[[#This Row],[Enrollment Type]]="ERA",tblEnrollment[[#This Row],[Enrollment Type]]="Claims and ERA"),IF(AND(tblEnrollment[[#This Row],[Credentialing Status]]="Completed",tblEnrollment[[#This Row],[ERA Enrollment Status]]="Approved",tblEnrollment[[#This Row],[Clearinghouse Configuration Status]]="Completed",AB10="NPI Match"),"Ready","Not Ready"),"Not Applicable")</f>
        <v>Not Applicable</v>
      </c>
      <c r="AI10" s="4" t="str">
        <f>IF(tblEnrollment[[#This Row],[Blocker Reason]] ="No Blocker","No","Yes")</f>
        <v>Yes</v>
      </c>
      <c r="AK10" s="2" t="s">
        <v>207</v>
      </c>
      <c r="AL10" s="2">
        <f>COUNTIF(tblEnrollment[Claims Ready Flag],"=Ready")</f>
        <v>48</v>
      </c>
    </row>
    <row r="11" spans="1:38" s="4" customFormat="1" ht="29">
      <c r="A11" s="35" t="s">
        <v>374</v>
      </c>
      <c r="B11" s="35" t="s">
        <v>375</v>
      </c>
      <c r="C11" s="35" t="s">
        <v>376</v>
      </c>
      <c r="D11" s="35" t="s">
        <v>26</v>
      </c>
      <c r="E11" s="35" t="s">
        <v>98</v>
      </c>
      <c r="F11" s="35" t="s">
        <v>98</v>
      </c>
      <c r="G11" s="35" t="s">
        <v>98</v>
      </c>
      <c r="H11" s="35" t="s">
        <v>356</v>
      </c>
      <c r="I11" s="35" t="s">
        <v>129</v>
      </c>
      <c r="J11" s="35" t="s">
        <v>134</v>
      </c>
      <c r="K11" s="35" t="s">
        <v>44</v>
      </c>
      <c r="L11" s="35" t="s">
        <v>135</v>
      </c>
      <c r="M11" s="35" t="s">
        <v>55</v>
      </c>
      <c r="N11" s="35" t="s">
        <v>46</v>
      </c>
      <c r="O11" s="35" t="s">
        <v>138</v>
      </c>
      <c r="P11" s="35" t="s">
        <v>139</v>
      </c>
      <c r="Q11" s="35" t="s">
        <v>48</v>
      </c>
      <c r="R11" s="35" t="s">
        <v>140</v>
      </c>
      <c r="S11" s="36">
        <v>46146</v>
      </c>
      <c r="T11" s="36"/>
      <c r="U11" s="35" t="s">
        <v>141</v>
      </c>
      <c r="V11" s="35" t="s">
        <v>377</v>
      </c>
      <c r="W11" s="35" t="s">
        <v>349</v>
      </c>
      <c r="X11" s="36">
        <v>46185</v>
      </c>
      <c r="Y11" s="35" t="s">
        <v>378</v>
      </c>
      <c r="Z11" s="4">
        <f>IF(tblEnrollment[[#This Row],[Approved Date]]="",DATE(2026,6,3)-tblEnrollment[[#This Row],[Submitted Date]],tblEnrollment[[#This Row],[Approved Date]]-tblEnrollment[[#This Row],[Submitted Date]])</f>
        <v>30</v>
      </c>
      <c r="AA11" s="4" t="str">
        <f>IF(tblEnrollment[[#This Row],[Current Status]] ="Ready","Completed",IF(Z11&gt;21,"SLA Breached","Within SLA"))</f>
        <v>SLA Breached</v>
      </c>
      <c r="AB11" s="4" t="str">
        <f>IF(tblEnrollment[[#This Row],[Credentialed NPI]] =tblEnrollment[[#This Row],[Enrolled NPI]],"NPI Match","NPI Mismatch")</f>
        <v>NPI Match</v>
      </c>
      <c r="AC11" s="4" t="str">
        <f>IF(OR(tblEnrollment[[#This Row],[Blocker Reason]] ="Individual NPI used instead of Group NPI",tblEnrollment[[#This Row],[Blocker Reason]] ="Credentialed NPI mismatch",tblEnrollment[[#This Row],[Blocker Reason]] ="Incorrect PTAN/Provider number"),"Yes","No")</f>
        <v>Yes</v>
      </c>
      <c r="AD11" s="4" t="str">
        <f>IF(OR(tblEnrollment[[#This Row],[Blocker Reason]] ="Wrong Payer ID",tblEnrollment[[#This Row],[Blocker Reason]] ="Old Payer ID used"),"Yes","No")</f>
        <v>No</v>
      </c>
      <c r="AE11" s="4" t="str">
        <f>IF(OR(tblEnrollment[[#This Row],[Clearinghouse Portal Updated]]="No",tblEnrollment[[#This Row],[Blocker Reason]] ="Clearinghouse portal not updated"),"Yes","No")</f>
        <v>No</v>
      </c>
      <c r="AF1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Yes</v>
      </c>
      <c r="AG1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Status]]="Completed",AB11="NPI Match"),"Ready","Not Ready"),"Not Applicable")</f>
        <v>Not Ready</v>
      </c>
      <c r="AH11" s="4" t="str">
        <f>IF(OR(tblEnrollment[[#This Row],[Enrollment Type]]="ERA",tblEnrollment[[#This Row],[Enrollment Type]]="Claims and ERA"),IF(AND(tblEnrollment[[#This Row],[Credentialing Status]]="Completed",tblEnrollment[[#This Row],[ERA Enrollment Status]]="Approved",tblEnrollment[[#This Row],[Clearinghouse Configuration Status]]="Completed",AB11="NPI Match"),"Ready","Not Ready"),"Not Applicable")</f>
        <v>Not Applicable</v>
      </c>
      <c r="AI11" s="4" t="str">
        <f>IF(tblEnrollment[[#This Row],[Blocker Reason]] ="No Blocker","No","Yes")</f>
        <v>Yes</v>
      </c>
      <c r="AK11" s="2" t="s">
        <v>208</v>
      </c>
      <c r="AL11" s="2">
        <f>COUNTIF(tblEnrollment[ERA Ready Flag],"=Ready")</f>
        <v>38</v>
      </c>
    </row>
    <row r="12" spans="1:38" s="4" customFormat="1" ht="29">
      <c r="A12" s="35" t="s">
        <v>379</v>
      </c>
      <c r="B12" s="35" t="s">
        <v>64</v>
      </c>
      <c r="C12" s="35" t="s">
        <v>380</v>
      </c>
      <c r="D12" s="35" t="s">
        <v>27</v>
      </c>
      <c r="E12" s="35" t="s">
        <v>381</v>
      </c>
      <c r="F12" s="35" t="s">
        <v>381</v>
      </c>
      <c r="G12" s="35" t="s">
        <v>381</v>
      </c>
      <c r="H12" s="35" t="s">
        <v>382</v>
      </c>
      <c r="I12" s="35" t="s">
        <v>43</v>
      </c>
      <c r="J12" s="35" t="s">
        <v>357</v>
      </c>
      <c r="K12" s="35" t="s">
        <v>44</v>
      </c>
      <c r="L12" s="35" t="s">
        <v>383</v>
      </c>
      <c r="M12" s="35" t="s">
        <v>45</v>
      </c>
      <c r="N12" s="35" t="s">
        <v>46</v>
      </c>
      <c r="O12" s="35" t="s">
        <v>56</v>
      </c>
      <c r="P12" s="35" t="s">
        <v>56</v>
      </c>
      <c r="Q12" s="35" t="s">
        <v>48</v>
      </c>
      <c r="R12" s="35" t="s">
        <v>137</v>
      </c>
      <c r="S12" s="36">
        <v>46076</v>
      </c>
      <c r="T12" s="36"/>
      <c r="U12" s="35" t="s">
        <v>56</v>
      </c>
      <c r="V12" s="35" t="s">
        <v>148</v>
      </c>
      <c r="W12" s="35" t="s">
        <v>365</v>
      </c>
      <c r="X12" s="36">
        <v>46186</v>
      </c>
      <c r="Y12" s="35" t="s">
        <v>359</v>
      </c>
      <c r="Z12" s="4">
        <f>IF(tblEnrollment[[#This Row],[Approved Date]]="",DATE(2026,6,3)-tblEnrollment[[#This Row],[Submitted Date]],tblEnrollment[[#This Row],[Approved Date]]-tblEnrollment[[#This Row],[Submitted Date]])</f>
        <v>100</v>
      </c>
      <c r="AA12" s="4" t="str">
        <f>IF(tblEnrollment[[#This Row],[Current Status]] ="Ready","Completed",IF(Z12&gt;21,"SLA Breached","Within SLA"))</f>
        <v>SLA Breached</v>
      </c>
      <c r="AB12" s="4" t="str">
        <f>IF(tblEnrollment[[#This Row],[Credentialed NPI]] =tblEnrollment[[#This Row],[Enrolled NPI]],"NPI Match","NPI Mismatch")</f>
        <v>NPI Match</v>
      </c>
      <c r="AC12" s="4" t="str">
        <f>IF(OR(tblEnrollment[[#This Row],[Blocker Reason]] ="Individual NPI used instead of Group NPI",tblEnrollment[[#This Row],[Blocker Reason]] ="Credentialed NPI mismatch",tblEnrollment[[#This Row],[Blocker Reason]] ="Incorrect PTAN/Provider number"),"Yes","No")</f>
        <v>No</v>
      </c>
      <c r="AD12" s="4" t="str">
        <f>IF(OR(tblEnrollment[[#This Row],[Blocker Reason]] ="Wrong Payer ID",tblEnrollment[[#This Row],[Blocker Reason]] ="Old Payer ID used"),"Yes","No")</f>
        <v>No</v>
      </c>
      <c r="AE12" s="4" t="str">
        <f>IF(OR(tblEnrollment[[#This Row],[Clearinghouse Portal Updated]]="No",tblEnrollment[[#This Row],[Blocker Reason]] ="Clearinghouse portal not updated"),"Yes","No")</f>
        <v>No</v>
      </c>
      <c r="AF1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Status]]="Completed",AB12="NPI Match"),"Ready","Not Ready"),"Not Applicable")</f>
        <v>Not Ready</v>
      </c>
      <c r="AH12" s="4" t="str">
        <f>IF(OR(tblEnrollment[[#This Row],[Enrollment Type]]="ERA",tblEnrollment[[#This Row],[Enrollment Type]]="Claims and ERA"),IF(AND(tblEnrollment[[#This Row],[Credentialing Status]]="Completed",tblEnrollment[[#This Row],[ERA Enrollment Status]]="Approved",tblEnrollment[[#This Row],[Clearinghouse Configuration Status]]="Completed",AB12="NPI Match"),"Ready","Not Ready"),"Not Applicable")</f>
        <v>Not Ready</v>
      </c>
      <c r="AI12" s="4" t="str">
        <f>IF(tblEnrollment[[#This Row],[Blocker Reason]] ="No Blocker","No","Yes")</f>
        <v>Yes</v>
      </c>
    </row>
    <row r="13" spans="1:38" s="4" customFormat="1" ht="29">
      <c r="A13" s="35" t="s">
        <v>384</v>
      </c>
      <c r="B13" s="35" t="s">
        <v>75</v>
      </c>
      <c r="C13" s="35" t="s">
        <v>385</v>
      </c>
      <c r="D13" s="35" t="s">
        <v>28</v>
      </c>
      <c r="E13" s="35" t="s">
        <v>386</v>
      </c>
      <c r="F13" s="35" t="s">
        <v>386</v>
      </c>
      <c r="G13" s="35" t="s">
        <v>387</v>
      </c>
      <c r="H13" s="35" t="s">
        <v>388</v>
      </c>
      <c r="I13" s="35" t="s">
        <v>346</v>
      </c>
      <c r="J13" s="35" t="s">
        <v>347</v>
      </c>
      <c r="K13" s="35" t="s">
        <v>53</v>
      </c>
      <c r="L13" s="35" t="s">
        <v>54</v>
      </c>
      <c r="M13" s="35" t="s">
        <v>45</v>
      </c>
      <c r="N13" s="35" t="s">
        <v>46</v>
      </c>
      <c r="O13" s="35" t="s">
        <v>138</v>
      </c>
      <c r="P13" s="35" t="s">
        <v>138</v>
      </c>
      <c r="Q13" s="35" t="s">
        <v>48</v>
      </c>
      <c r="R13" s="35" t="s">
        <v>140</v>
      </c>
      <c r="S13" s="36">
        <v>46039</v>
      </c>
      <c r="T13" s="36"/>
      <c r="U13" s="35" t="s">
        <v>141</v>
      </c>
      <c r="V13" s="35" t="s">
        <v>144</v>
      </c>
      <c r="W13" s="35" t="s">
        <v>330</v>
      </c>
      <c r="X13" s="36">
        <v>46186</v>
      </c>
      <c r="Y13" s="35" t="s">
        <v>389</v>
      </c>
      <c r="Z13" s="4">
        <f>IF(tblEnrollment[[#This Row],[Approved Date]]="",DATE(2026,6,3)-tblEnrollment[[#This Row],[Submitted Date]],tblEnrollment[[#This Row],[Approved Date]]-tblEnrollment[[#This Row],[Submitted Date]])</f>
        <v>137</v>
      </c>
      <c r="AA13" s="4" t="str">
        <f>IF(tblEnrollment[[#This Row],[Current Status]] ="Ready","Completed",IF(Z13&gt;21,"SLA Breached","Within SLA"))</f>
        <v>SLA Breached</v>
      </c>
      <c r="AB13" s="4" t="str">
        <f>IF(tblEnrollment[[#This Row],[Credentialed NPI]] =tblEnrollment[[#This Row],[Enrolled NPI]],"NPI Match","NPI Mismatch")</f>
        <v>NPI Mismatch</v>
      </c>
      <c r="AC13" s="4" t="str">
        <f>IF(OR(tblEnrollment[[#This Row],[Blocker Reason]] ="Individual NPI used instead of Group NPI",tblEnrollment[[#This Row],[Blocker Reason]] ="Credentialed NPI mismatch",tblEnrollment[[#This Row],[Blocker Reason]] ="Incorrect PTAN/Provider number"),"Yes","No")</f>
        <v>Yes</v>
      </c>
      <c r="AD13" s="4" t="str">
        <f>IF(OR(tblEnrollment[[#This Row],[Blocker Reason]] ="Wrong Payer ID",tblEnrollment[[#This Row],[Blocker Reason]] ="Old Payer ID used"),"Yes","No")</f>
        <v>No</v>
      </c>
      <c r="AE13" s="4" t="str">
        <f>IF(OR(tblEnrollment[[#This Row],[Clearinghouse Portal Updated]]="No",tblEnrollment[[#This Row],[Blocker Reason]] ="Clearinghouse portal not updated"),"Yes","No")</f>
        <v>No</v>
      </c>
      <c r="AF1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Status]]="Completed",AB13="NPI Match"),"Ready","Not Ready"),"Not Applicable")</f>
        <v>Not Ready</v>
      </c>
      <c r="AH13" s="4" t="str">
        <f>IF(OR(tblEnrollment[[#This Row],[Enrollment Type]]="ERA",tblEnrollment[[#This Row],[Enrollment Type]]="Claims and ERA"),IF(AND(tblEnrollment[[#This Row],[Credentialing Status]]="Completed",tblEnrollment[[#This Row],[ERA Enrollment Status]]="Approved",tblEnrollment[[#This Row],[Clearinghouse Configuration Status]]="Completed",AB13="NPI Match"),"Ready","Not Ready"),"Not Applicable")</f>
        <v>Not Ready</v>
      </c>
      <c r="AI13" s="4" t="str">
        <f>IF(tblEnrollment[[#This Row],[Blocker Reason]] ="No Blocker","No","Yes")</f>
        <v>Yes</v>
      </c>
    </row>
    <row r="14" spans="1:38" s="4" customFormat="1" ht="29">
      <c r="A14" s="35" t="s">
        <v>390</v>
      </c>
      <c r="B14" s="35" t="s">
        <v>391</v>
      </c>
      <c r="C14" s="35" t="s">
        <v>392</v>
      </c>
      <c r="D14" s="35" t="s">
        <v>29</v>
      </c>
      <c r="E14" s="35" t="s">
        <v>100</v>
      </c>
      <c r="F14" s="35" t="s">
        <v>100</v>
      </c>
      <c r="G14" s="35" t="s">
        <v>100</v>
      </c>
      <c r="H14" s="35" t="s">
        <v>118</v>
      </c>
      <c r="I14" s="35" t="s">
        <v>130</v>
      </c>
      <c r="J14" s="35" t="s">
        <v>393</v>
      </c>
      <c r="K14" s="35" t="s">
        <v>53</v>
      </c>
      <c r="L14" s="35" t="s">
        <v>54</v>
      </c>
      <c r="M14" s="35" t="s">
        <v>55</v>
      </c>
      <c r="N14" s="35" t="s">
        <v>46</v>
      </c>
      <c r="O14" s="35" t="s">
        <v>47</v>
      </c>
      <c r="P14" s="35" t="s">
        <v>139</v>
      </c>
      <c r="Q14" s="35" t="s">
        <v>48</v>
      </c>
      <c r="R14" s="35" t="s">
        <v>46</v>
      </c>
      <c r="S14" s="36">
        <v>46104</v>
      </c>
      <c r="T14" s="36">
        <v>46119</v>
      </c>
      <c r="U14" s="35" t="s">
        <v>49</v>
      </c>
      <c r="V14" s="35" t="s">
        <v>348</v>
      </c>
      <c r="W14" s="35" t="s">
        <v>338</v>
      </c>
      <c r="X14" s="36">
        <v>46178</v>
      </c>
      <c r="Y14" s="35" t="s">
        <v>350</v>
      </c>
      <c r="Z14" s="4">
        <f>IF(tblEnrollment[[#This Row],[Approved Date]]="",DATE(2026,6,3)-tblEnrollment[[#This Row],[Submitted Date]],tblEnrollment[[#This Row],[Approved Date]]-tblEnrollment[[#This Row],[Submitted Date]])</f>
        <v>15</v>
      </c>
      <c r="AA14" s="4" t="str">
        <f>IF(tblEnrollment[[#This Row],[Current Status]] ="Ready","Completed",IF(Z14&gt;21,"SLA Breached","Within SLA"))</f>
        <v>Completed</v>
      </c>
      <c r="AB14" s="4" t="str">
        <f>IF(tblEnrollment[[#This Row],[Credentialed NPI]] =tblEnrollment[[#This Row],[Enrolled NPI]],"NPI Match","NPI Mismatch")</f>
        <v>NPI Match</v>
      </c>
      <c r="AC14" s="4" t="str">
        <f>IF(OR(tblEnrollment[[#This Row],[Blocker Reason]] ="Individual NPI used instead of Group NPI",tblEnrollment[[#This Row],[Blocker Reason]] ="Credentialed NPI mismatch",tblEnrollment[[#This Row],[Blocker Reason]] ="Incorrect PTAN/Provider number"),"Yes","No")</f>
        <v>No</v>
      </c>
      <c r="AD14" s="4" t="str">
        <f>IF(OR(tblEnrollment[[#This Row],[Blocker Reason]] ="Wrong Payer ID",tblEnrollment[[#This Row],[Blocker Reason]] ="Old Payer ID used"),"Yes","No")</f>
        <v>No</v>
      </c>
      <c r="AE14" s="4" t="str">
        <f>IF(OR(tblEnrollment[[#This Row],[Clearinghouse Portal Updated]]="No",tblEnrollment[[#This Row],[Blocker Reason]] ="Clearinghouse portal not updated"),"Yes","No")</f>
        <v>No</v>
      </c>
      <c r="AF1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Status]]="Completed",AB14="NPI Match"),"Ready","Not Ready"),"Not Applicable")</f>
        <v>Ready</v>
      </c>
      <c r="AH14" s="4" t="str">
        <f>IF(OR(tblEnrollment[[#This Row],[Enrollment Type]]="ERA",tblEnrollment[[#This Row],[Enrollment Type]]="Claims and ERA"),IF(AND(tblEnrollment[[#This Row],[Credentialing Status]]="Completed",tblEnrollment[[#This Row],[ERA Enrollment Status]]="Approved",tblEnrollment[[#This Row],[Clearinghouse Configuration Status]]="Completed",AB14="NPI Match"),"Ready","Not Ready"),"Not Applicable")</f>
        <v>Not Applicable</v>
      </c>
      <c r="AI14" s="4" t="str">
        <f>IF(tblEnrollment[[#This Row],[Blocker Reason]] ="No Blocker","No","Yes")</f>
        <v>No</v>
      </c>
    </row>
    <row r="15" spans="1:38" s="4" customFormat="1" ht="29">
      <c r="A15" s="35" t="s">
        <v>394</v>
      </c>
      <c r="B15" s="35" t="s">
        <v>395</v>
      </c>
      <c r="C15" s="35" t="s">
        <v>396</v>
      </c>
      <c r="D15" s="35" t="s">
        <v>30</v>
      </c>
      <c r="E15" s="35" t="s">
        <v>353</v>
      </c>
      <c r="F15" s="35" t="s">
        <v>353</v>
      </c>
      <c r="G15" s="35" t="s">
        <v>353</v>
      </c>
      <c r="H15" s="35" t="s">
        <v>397</v>
      </c>
      <c r="I15" s="35" t="s">
        <v>346</v>
      </c>
      <c r="J15" s="35" t="s">
        <v>347</v>
      </c>
      <c r="K15" s="35" t="s">
        <v>53</v>
      </c>
      <c r="L15" s="35" t="s">
        <v>54</v>
      </c>
      <c r="M15" s="35" t="s">
        <v>45</v>
      </c>
      <c r="N15" s="35" t="s">
        <v>46</v>
      </c>
      <c r="O15" s="35" t="s">
        <v>47</v>
      </c>
      <c r="P15" s="35" t="s">
        <v>47</v>
      </c>
      <c r="Q15" s="35" t="s">
        <v>48</v>
      </c>
      <c r="R15" s="35" t="s">
        <v>46</v>
      </c>
      <c r="S15" s="36">
        <v>46078</v>
      </c>
      <c r="T15" s="36">
        <v>46093</v>
      </c>
      <c r="U15" s="35" t="s">
        <v>49</v>
      </c>
      <c r="V15" s="35" t="s">
        <v>348</v>
      </c>
      <c r="W15" s="35" t="s">
        <v>330</v>
      </c>
      <c r="X15" s="36">
        <v>46184</v>
      </c>
      <c r="Y15" s="35" t="s">
        <v>350</v>
      </c>
      <c r="Z15" s="4">
        <f>IF(tblEnrollment[[#This Row],[Approved Date]]="",DATE(2026,6,3)-tblEnrollment[[#This Row],[Submitted Date]],tblEnrollment[[#This Row],[Approved Date]]-tblEnrollment[[#This Row],[Submitted Date]])</f>
        <v>15</v>
      </c>
      <c r="AA15" s="4" t="str">
        <f>IF(tblEnrollment[[#This Row],[Current Status]] ="Ready","Completed",IF(Z15&gt;21,"SLA Breached","Within SLA"))</f>
        <v>Completed</v>
      </c>
      <c r="AB15" s="4" t="str">
        <f>IF(tblEnrollment[[#This Row],[Credentialed NPI]] =tblEnrollment[[#This Row],[Enrolled NPI]],"NPI Match","NPI Mismatch")</f>
        <v>NPI Match</v>
      </c>
      <c r="AC15" s="4" t="str">
        <f>IF(OR(tblEnrollment[[#This Row],[Blocker Reason]] ="Individual NPI used instead of Group NPI",tblEnrollment[[#This Row],[Blocker Reason]] ="Credentialed NPI mismatch",tblEnrollment[[#This Row],[Blocker Reason]] ="Incorrect PTAN/Provider number"),"Yes","No")</f>
        <v>No</v>
      </c>
      <c r="AD15" s="4" t="str">
        <f>IF(OR(tblEnrollment[[#This Row],[Blocker Reason]] ="Wrong Payer ID",tblEnrollment[[#This Row],[Blocker Reason]] ="Old Payer ID used"),"Yes","No")</f>
        <v>No</v>
      </c>
      <c r="AE15" s="4" t="str">
        <f>IF(OR(tblEnrollment[[#This Row],[Clearinghouse Portal Updated]]="No",tblEnrollment[[#This Row],[Blocker Reason]] ="Clearinghouse portal not updated"),"Yes","No")</f>
        <v>No</v>
      </c>
      <c r="AF1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Status]]="Completed",AB15="NPI Match"),"Ready","Not Ready"),"Not Applicable")</f>
        <v>Ready</v>
      </c>
      <c r="AH15" s="4" t="str">
        <f>IF(OR(tblEnrollment[[#This Row],[Enrollment Type]]="ERA",tblEnrollment[[#This Row],[Enrollment Type]]="Claims and ERA"),IF(AND(tblEnrollment[[#This Row],[Credentialing Status]]="Completed",tblEnrollment[[#This Row],[ERA Enrollment Status]]="Approved",tblEnrollment[[#This Row],[Clearinghouse Configuration Status]]="Completed",AB15="NPI Match"),"Ready","Not Ready"),"Not Applicable")</f>
        <v>Ready</v>
      </c>
      <c r="AI15" s="4" t="str">
        <f>IF(tblEnrollment[[#This Row],[Blocker Reason]] ="No Blocker","No","Yes")</f>
        <v>No</v>
      </c>
    </row>
    <row r="16" spans="1:38" s="4" customFormat="1" ht="29">
      <c r="A16" s="35" t="s">
        <v>398</v>
      </c>
      <c r="B16" s="35" t="s">
        <v>71</v>
      </c>
      <c r="C16" s="35" t="s">
        <v>399</v>
      </c>
      <c r="D16" s="35" t="s">
        <v>31</v>
      </c>
      <c r="E16" s="35" t="s">
        <v>105</v>
      </c>
      <c r="F16" s="35" t="s">
        <v>105</v>
      </c>
      <c r="G16" s="35" t="s">
        <v>105</v>
      </c>
      <c r="H16" s="35" t="s">
        <v>400</v>
      </c>
      <c r="I16" s="35" t="s">
        <v>132</v>
      </c>
      <c r="J16" s="35" t="s">
        <v>401</v>
      </c>
      <c r="K16" s="35" t="s">
        <v>53</v>
      </c>
      <c r="L16" s="35" t="s">
        <v>54</v>
      </c>
      <c r="M16" s="35" t="s">
        <v>45</v>
      </c>
      <c r="N16" s="35" t="s">
        <v>46</v>
      </c>
      <c r="O16" s="35" t="s">
        <v>47</v>
      </c>
      <c r="P16" s="35" t="s">
        <v>47</v>
      </c>
      <c r="Q16" s="35" t="s">
        <v>48</v>
      </c>
      <c r="R16" s="35" t="s">
        <v>46</v>
      </c>
      <c r="S16" s="36">
        <v>46098</v>
      </c>
      <c r="T16" s="36">
        <v>46114</v>
      </c>
      <c r="U16" s="35" t="s">
        <v>49</v>
      </c>
      <c r="V16" s="35" t="s">
        <v>348</v>
      </c>
      <c r="W16" s="35" t="s">
        <v>330</v>
      </c>
      <c r="X16" s="36">
        <v>46177</v>
      </c>
      <c r="Y16" s="35" t="s">
        <v>350</v>
      </c>
      <c r="Z16" s="4">
        <f>IF(tblEnrollment[[#This Row],[Approved Date]]="",DATE(2026,6,3)-tblEnrollment[[#This Row],[Submitted Date]],tblEnrollment[[#This Row],[Approved Date]]-tblEnrollment[[#This Row],[Submitted Date]])</f>
        <v>16</v>
      </c>
      <c r="AA16" s="4" t="str">
        <f>IF(tblEnrollment[[#This Row],[Current Status]] ="Ready","Completed",IF(Z16&gt;21,"SLA Breached","Within SLA"))</f>
        <v>Completed</v>
      </c>
      <c r="AB16" s="4" t="str">
        <f>IF(tblEnrollment[[#This Row],[Credentialed NPI]] =tblEnrollment[[#This Row],[Enrolled NPI]],"NPI Match","NPI Mismatch")</f>
        <v>NPI Match</v>
      </c>
      <c r="AC16" s="4" t="str">
        <f>IF(OR(tblEnrollment[[#This Row],[Blocker Reason]] ="Individual NPI used instead of Group NPI",tblEnrollment[[#This Row],[Blocker Reason]] ="Credentialed NPI mismatch",tblEnrollment[[#This Row],[Blocker Reason]] ="Incorrect PTAN/Provider number"),"Yes","No")</f>
        <v>No</v>
      </c>
      <c r="AD16" s="4" t="str">
        <f>IF(OR(tblEnrollment[[#This Row],[Blocker Reason]] ="Wrong Payer ID",tblEnrollment[[#This Row],[Blocker Reason]] ="Old Payer ID used"),"Yes","No")</f>
        <v>No</v>
      </c>
      <c r="AE16" s="4" t="str">
        <f>IF(OR(tblEnrollment[[#This Row],[Clearinghouse Portal Updated]]="No",tblEnrollment[[#This Row],[Blocker Reason]] ="Clearinghouse portal not updated"),"Yes","No")</f>
        <v>No</v>
      </c>
      <c r="AF1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Status]]="Completed",AB16="NPI Match"),"Ready","Not Ready"),"Not Applicable")</f>
        <v>Ready</v>
      </c>
      <c r="AH16" s="4" t="str">
        <f>IF(OR(tblEnrollment[[#This Row],[Enrollment Type]]="ERA",tblEnrollment[[#This Row],[Enrollment Type]]="Claims and ERA"),IF(AND(tblEnrollment[[#This Row],[Credentialing Status]]="Completed",tblEnrollment[[#This Row],[ERA Enrollment Status]]="Approved",tblEnrollment[[#This Row],[Clearinghouse Configuration Status]]="Completed",AB16="NPI Match"),"Ready","Not Ready"),"Not Applicable")</f>
        <v>Ready</v>
      </c>
      <c r="AI16" s="4" t="str">
        <f>IF(tblEnrollment[[#This Row],[Blocker Reason]] ="No Blocker","No","Yes")</f>
        <v>No</v>
      </c>
    </row>
    <row r="17" spans="1:35" s="4" customFormat="1" ht="29">
      <c r="A17" s="35" t="s">
        <v>402</v>
      </c>
      <c r="B17" s="35" t="s">
        <v>403</v>
      </c>
      <c r="C17" s="35" t="s">
        <v>404</v>
      </c>
      <c r="D17" s="35" t="s">
        <v>32</v>
      </c>
      <c r="E17" s="35" t="s">
        <v>405</v>
      </c>
      <c r="F17" s="35" t="s">
        <v>405</v>
      </c>
      <c r="G17" s="35" t="s">
        <v>405</v>
      </c>
      <c r="H17" s="35" t="s">
        <v>382</v>
      </c>
      <c r="I17" s="35" t="s">
        <v>132</v>
      </c>
      <c r="J17" s="35" t="s">
        <v>401</v>
      </c>
      <c r="K17" s="35" t="s">
        <v>53</v>
      </c>
      <c r="L17" s="35" t="s">
        <v>54</v>
      </c>
      <c r="M17" s="35" t="s">
        <v>55</v>
      </c>
      <c r="N17" s="35" t="s">
        <v>137</v>
      </c>
      <c r="O17" s="35" t="s">
        <v>57</v>
      </c>
      <c r="P17" s="35" t="s">
        <v>139</v>
      </c>
      <c r="Q17" s="35" t="s">
        <v>58</v>
      </c>
      <c r="R17" s="35" t="s">
        <v>57</v>
      </c>
      <c r="S17" s="36">
        <v>46079</v>
      </c>
      <c r="T17" s="36"/>
      <c r="U17" s="35" t="s">
        <v>56</v>
      </c>
      <c r="V17" s="35" t="s">
        <v>147</v>
      </c>
      <c r="W17" s="35" t="s">
        <v>338</v>
      </c>
      <c r="X17" s="36">
        <v>46180</v>
      </c>
      <c r="Y17" s="35" t="s">
        <v>406</v>
      </c>
      <c r="Z17" s="4">
        <f>IF(tblEnrollment[[#This Row],[Approved Date]]="",DATE(2026,6,3)-tblEnrollment[[#This Row],[Submitted Date]],tblEnrollment[[#This Row],[Approved Date]]-tblEnrollment[[#This Row],[Submitted Date]])</f>
        <v>97</v>
      </c>
      <c r="AA17" s="4" t="str">
        <f>IF(tblEnrollment[[#This Row],[Current Status]] ="Ready","Completed",IF(Z17&gt;21,"SLA Breached","Within SLA"))</f>
        <v>SLA Breached</v>
      </c>
      <c r="AB17" s="4" t="str">
        <f>IF(tblEnrollment[[#This Row],[Credentialed NPI]] =tblEnrollment[[#This Row],[Enrolled NPI]],"NPI Match","NPI Mismatch")</f>
        <v>NPI Match</v>
      </c>
      <c r="AC17" s="4" t="str">
        <f>IF(OR(tblEnrollment[[#This Row],[Blocker Reason]] ="Individual NPI used instead of Group NPI",tblEnrollment[[#This Row],[Blocker Reason]] ="Credentialed NPI mismatch",tblEnrollment[[#This Row],[Blocker Reason]] ="Incorrect PTAN/Provider number"),"Yes","No")</f>
        <v>No</v>
      </c>
      <c r="AD17" s="4" t="str">
        <f>IF(OR(tblEnrollment[[#This Row],[Blocker Reason]] ="Wrong Payer ID",tblEnrollment[[#This Row],[Blocker Reason]] ="Old Payer ID used"),"Yes","No")</f>
        <v>No</v>
      </c>
      <c r="AE17" s="4" t="str">
        <f>IF(OR(tblEnrollment[[#This Row],[Clearinghouse Portal Updated]]="No",tblEnrollment[[#This Row],[Blocker Reason]] ="Clearinghouse portal not updated"),"Yes","No")</f>
        <v>Yes</v>
      </c>
      <c r="AF1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Status]]="Completed",AB17="NPI Match"),"Ready","Not Ready"),"Not Applicable")</f>
        <v>Not Ready</v>
      </c>
      <c r="AH17" s="4" t="str">
        <f>IF(OR(tblEnrollment[[#This Row],[Enrollment Type]]="ERA",tblEnrollment[[#This Row],[Enrollment Type]]="Claims and ERA"),IF(AND(tblEnrollment[[#This Row],[Credentialing Status]]="Completed",tblEnrollment[[#This Row],[ERA Enrollment Status]]="Approved",tblEnrollment[[#This Row],[Clearinghouse Configuration Status]]="Completed",AB17="NPI Match"),"Ready","Not Ready"),"Not Applicable")</f>
        <v>Not Applicable</v>
      </c>
      <c r="AI17" s="4" t="str">
        <f>IF(tblEnrollment[[#This Row],[Blocker Reason]] ="No Blocker","No","Yes")</f>
        <v>Yes</v>
      </c>
    </row>
    <row r="18" spans="1:35" s="4" customFormat="1" ht="29">
      <c r="A18" s="35" t="s">
        <v>407</v>
      </c>
      <c r="B18" s="35" t="s">
        <v>63</v>
      </c>
      <c r="C18" s="35" t="s">
        <v>408</v>
      </c>
      <c r="D18" s="35" t="s">
        <v>33</v>
      </c>
      <c r="E18" s="35" t="s">
        <v>409</v>
      </c>
      <c r="F18" s="35" t="s">
        <v>409</v>
      </c>
      <c r="G18" s="35" t="s">
        <v>33</v>
      </c>
      <c r="H18" s="35" t="s">
        <v>410</v>
      </c>
      <c r="I18" s="35" t="s">
        <v>129</v>
      </c>
      <c r="J18" s="35" t="s">
        <v>134</v>
      </c>
      <c r="K18" s="35" t="s">
        <v>44</v>
      </c>
      <c r="L18" s="35" t="s">
        <v>411</v>
      </c>
      <c r="M18" s="35" t="s">
        <v>45</v>
      </c>
      <c r="N18" s="35" t="s">
        <v>46</v>
      </c>
      <c r="O18" s="35" t="s">
        <v>138</v>
      </c>
      <c r="P18" s="35" t="s">
        <v>138</v>
      </c>
      <c r="Q18" s="35" t="s">
        <v>48</v>
      </c>
      <c r="R18" s="35" t="s">
        <v>140</v>
      </c>
      <c r="S18" s="36">
        <v>46132</v>
      </c>
      <c r="T18" s="36"/>
      <c r="U18" s="35" t="s">
        <v>141</v>
      </c>
      <c r="V18" s="35" t="s">
        <v>412</v>
      </c>
      <c r="W18" s="35" t="s">
        <v>338</v>
      </c>
      <c r="X18" s="36">
        <v>46183</v>
      </c>
      <c r="Y18" s="35" t="s">
        <v>413</v>
      </c>
      <c r="Z18" s="4">
        <f>IF(tblEnrollment[[#This Row],[Approved Date]]="",DATE(2026,6,3)-tblEnrollment[[#This Row],[Submitted Date]],tblEnrollment[[#This Row],[Approved Date]]-tblEnrollment[[#This Row],[Submitted Date]])</f>
        <v>44</v>
      </c>
      <c r="AA18" s="4" t="str">
        <f>IF(tblEnrollment[[#This Row],[Current Status]] ="Ready","Completed",IF(Z18&gt;21,"SLA Breached","Within SLA"))</f>
        <v>SLA Breached</v>
      </c>
      <c r="AB18" s="4" t="str">
        <f>IF(tblEnrollment[[#This Row],[Credentialed NPI]] =tblEnrollment[[#This Row],[Enrolled NPI]],"NPI Match","NPI Mismatch")</f>
        <v>NPI Mismatch</v>
      </c>
      <c r="AC18" s="4" t="str">
        <f>IF(OR(tblEnrollment[[#This Row],[Blocker Reason]] ="Individual NPI used instead of Group NPI",tblEnrollment[[#This Row],[Blocker Reason]] ="Credentialed NPI mismatch",tblEnrollment[[#This Row],[Blocker Reason]] ="Incorrect PTAN/Provider number"),"Yes","No")</f>
        <v>Yes</v>
      </c>
      <c r="AD18" s="4" t="str">
        <f>IF(OR(tblEnrollment[[#This Row],[Blocker Reason]] ="Wrong Payer ID",tblEnrollment[[#This Row],[Blocker Reason]] ="Old Payer ID used"),"Yes","No")</f>
        <v>No</v>
      </c>
      <c r="AE18" s="4" t="str">
        <f>IF(OR(tblEnrollment[[#This Row],[Clearinghouse Portal Updated]]="No",tblEnrollment[[#This Row],[Blocker Reason]] ="Clearinghouse portal not updated"),"Yes","No")</f>
        <v>No</v>
      </c>
      <c r="AF1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Status]]="Completed",AB18="NPI Match"),"Ready","Not Ready"),"Not Applicable")</f>
        <v>Not Ready</v>
      </c>
      <c r="AH18" s="4" t="str">
        <f>IF(OR(tblEnrollment[[#This Row],[Enrollment Type]]="ERA",tblEnrollment[[#This Row],[Enrollment Type]]="Claims and ERA"),IF(AND(tblEnrollment[[#This Row],[Credentialing Status]]="Completed",tblEnrollment[[#This Row],[ERA Enrollment Status]]="Approved",tblEnrollment[[#This Row],[Clearinghouse Configuration Status]]="Completed",AB18="NPI Match"),"Ready","Not Ready"),"Not Applicable")</f>
        <v>Not Ready</v>
      </c>
      <c r="AI18" s="4" t="str">
        <f>IF(tblEnrollment[[#This Row],[Blocker Reason]] ="No Blocker","No","Yes")</f>
        <v>Yes</v>
      </c>
    </row>
    <row r="19" spans="1:35" s="4" customFormat="1" ht="29">
      <c r="A19" s="35" t="s">
        <v>414</v>
      </c>
      <c r="B19" s="35" t="s">
        <v>61</v>
      </c>
      <c r="C19" s="35" t="s">
        <v>415</v>
      </c>
      <c r="D19" s="35" t="s">
        <v>34</v>
      </c>
      <c r="E19" s="35" t="s">
        <v>86</v>
      </c>
      <c r="F19" s="35" t="s">
        <v>86</v>
      </c>
      <c r="G19" s="35" t="s">
        <v>416</v>
      </c>
      <c r="H19" s="35" t="s">
        <v>112</v>
      </c>
      <c r="I19" s="35" t="s">
        <v>51</v>
      </c>
      <c r="J19" s="35" t="s">
        <v>52</v>
      </c>
      <c r="K19" s="35" t="s">
        <v>53</v>
      </c>
      <c r="L19" s="35" t="s">
        <v>54</v>
      </c>
      <c r="M19" s="35" t="s">
        <v>55</v>
      </c>
      <c r="N19" s="35" t="s">
        <v>46</v>
      </c>
      <c r="O19" s="35" t="s">
        <v>138</v>
      </c>
      <c r="P19" s="35" t="s">
        <v>139</v>
      </c>
      <c r="Q19" s="35" t="s">
        <v>48</v>
      </c>
      <c r="R19" s="35" t="s">
        <v>140</v>
      </c>
      <c r="S19" s="36">
        <v>46093</v>
      </c>
      <c r="T19" s="36"/>
      <c r="U19" s="35" t="s">
        <v>141</v>
      </c>
      <c r="V19" s="35" t="s">
        <v>144</v>
      </c>
      <c r="W19" s="35" t="s">
        <v>330</v>
      </c>
      <c r="X19" s="36">
        <v>46176</v>
      </c>
      <c r="Y19" s="35" t="s">
        <v>389</v>
      </c>
      <c r="Z19" s="4">
        <f>IF(tblEnrollment[[#This Row],[Approved Date]]="",DATE(2026,6,3)-tblEnrollment[[#This Row],[Submitted Date]],tblEnrollment[[#This Row],[Approved Date]]-tblEnrollment[[#This Row],[Submitted Date]])</f>
        <v>83</v>
      </c>
      <c r="AA19" s="4" t="str">
        <f>IF(tblEnrollment[[#This Row],[Current Status]] ="Ready","Completed",IF(Z19&gt;21,"SLA Breached","Within SLA"))</f>
        <v>SLA Breached</v>
      </c>
      <c r="AB19" s="4" t="str">
        <f>IF(tblEnrollment[[#This Row],[Credentialed NPI]] =tblEnrollment[[#This Row],[Enrolled NPI]],"NPI Match","NPI Mismatch")</f>
        <v>NPI Mismatch</v>
      </c>
      <c r="AC19" s="4" t="str">
        <f>IF(OR(tblEnrollment[[#This Row],[Blocker Reason]] ="Individual NPI used instead of Group NPI",tblEnrollment[[#This Row],[Blocker Reason]] ="Credentialed NPI mismatch",tblEnrollment[[#This Row],[Blocker Reason]] ="Incorrect PTAN/Provider number"),"Yes","No")</f>
        <v>Yes</v>
      </c>
      <c r="AD19" s="4" t="str">
        <f>IF(OR(tblEnrollment[[#This Row],[Blocker Reason]] ="Wrong Payer ID",tblEnrollment[[#This Row],[Blocker Reason]] ="Old Payer ID used"),"Yes","No")</f>
        <v>No</v>
      </c>
      <c r="AE19" s="4" t="str">
        <f>IF(OR(tblEnrollment[[#This Row],[Clearinghouse Portal Updated]]="No",tblEnrollment[[#This Row],[Blocker Reason]] ="Clearinghouse portal not updated"),"Yes","No")</f>
        <v>No</v>
      </c>
      <c r="AF1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Status]]="Completed",AB19="NPI Match"),"Ready","Not Ready"),"Not Applicable")</f>
        <v>Not Ready</v>
      </c>
      <c r="AH19" s="4" t="str">
        <f>IF(OR(tblEnrollment[[#This Row],[Enrollment Type]]="ERA",tblEnrollment[[#This Row],[Enrollment Type]]="Claims and ERA"),IF(AND(tblEnrollment[[#This Row],[Credentialing Status]]="Completed",tblEnrollment[[#This Row],[ERA Enrollment Status]]="Approved",tblEnrollment[[#This Row],[Clearinghouse Configuration Status]]="Completed",AB19="NPI Match"),"Ready","Not Ready"),"Not Applicable")</f>
        <v>Not Applicable</v>
      </c>
      <c r="AI19" s="4" t="str">
        <f>IF(tblEnrollment[[#This Row],[Blocker Reason]] ="No Blocker","No","Yes")</f>
        <v>Yes</v>
      </c>
    </row>
    <row r="20" spans="1:35" s="4" customFormat="1" ht="29">
      <c r="A20" s="35" t="s">
        <v>417</v>
      </c>
      <c r="B20" s="35" t="s">
        <v>64</v>
      </c>
      <c r="C20" s="35" t="s">
        <v>418</v>
      </c>
      <c r="D20" s="35" t="s">
        <v>35</v>
      </c>
      <c r="E20" s="35" t="s">
        <v>84</v>
      </c>
      <c r="F20" s="35" t="s">
        <v>84</v>
      </c>
      <c r="G20" s="35" t="s">
        <v>35</v>
      </c>
      <c r="H20" s="35" t="s">
        <v>419</v>
      </c>
      <c r="I20" s="35" t="s">
        <v>132</v>
      </c>
      <c r="J20" s="35" t="s">
        <v>401</v>
      </c>
      <c r="K20" s="35" t="s">
        <v>53</v>
      </c>
      <c r="L20" s="35" t="s">
        <v>54</v>
      </c>
      <c r="M20" s="35" t="s">
        <v>136</v>
      </c>
      <c r="N20" s="35" t="s">
        <v>46</v>
      </c>
      <c r="O20" s="35" t="s">
        <v>139</v>
      </c>
      <c r="P20" s="35" t="s">
        <v>138</v>
      </c>
      <c r="Q20" s="35" t="s">
        <v>48</v>
      </c>
      <c r="R20" s="35" t="s">
        <v>140</v>
      </c>
      <c r="S20" s="36">
        <v>46108</v>
      </c>
      <c r="T20" s="36"/>
      <c r="U20" s="35" t="s">
        <v>141</v>
      </c>
      <c r="V20" s="35" t="s">
        <v>412</v>
      </c>
      <c r="W20" s="35" t="s">
        <v>349</v>
      </c>
      <c r="X20" s="36">
        <v>46186</v>
      </c>
      <c r="Y20" s="35" t="s">
        <v>413</v>
      </c>
      <c r="Z20" s="4">
        <f>IF(tblEnrollment[[#This Row],[Approved Date]]="",DATE(2026,6,3)-tblEnrollment[[#This Row],[Submitted Date]],tblEnrollment[[#This Row],[Approved Date]]-tblEnrollment[[#This Row],[Submitted Date]])</f>
        <v>68</v>
      </c>
      <c r="AA20" s="4" t="str">
        <f>IF(tblEnrollment[[#This Row],[Current Status]] ="Ready","Completed",IF(Z20&gt;21,"SLA Breached","Within SLA"))</f>
        <v>SLA Breached</v>
      </c>
      <c r="AB20" s="4" t="str">
        <f>IF(tblEnrollment[[#This Row],[Credentialed NPI]] =tblEnrollment[[#This Row],[Enrolled NPI]],"NPI Match","NPI Mismatch")</f>
        <v>NPI Mismatch</v>
      </c>
      <c r="AC20" s="4" t="str">
        <f>IF(OR(tblEnrollment[[#This Row],[Blocker Reason]] ="Individual NPI used instead of Group NPI",tblEnrollment[[#This Row],[Blocker Reason]] ="Credentialed NPI mismatch",tblEnrollment[[#This Row],[Blocker Reason]] ="Incorrect PTAN/Provider number"),"Yes","No")</f>
        <v>Yes</v>
      </c>
      <c r="AD20" s="4" t="str">
        <f>IF(OR(tblEnrollment[[#This Row],[Blocker Reason]] ="Wrong Payer ID",tblEnrollment[[#This Row],[Blocker Reason]] ="Old Payer ID used"),"Yes","No")</f>
        <v>No</v>
      </c>
      <c r="AE20" s="4" t="str">
        <f>IF(OR(tblEnrollment[[#This Row],[Clearinghouse Portal Updated]]="No",tblEnrollment[[#This Row],[Blocker Reason]] ="Clearinghouse portal not updated"),"Yes","No")</f>
        <v>No</v>
      </c>
      <c r="AF2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Status]]="Completed",AB20="NPI Match"),"Ready","Not Ready"),"Not Applicable")</f>
        <v>Not Applicable</v>
      </c>
      <c r="AH20" s="4" t="str">
        <f>IF(OR(tblEnrollment[[#This Row],[Enrollment Type]]="ERA",tblEnrollment[[#This Row],[Enrollment Type]]="Claims and ERA"),IF(AND(tblEnrollment[[#This Row],[Credentialing Status]]="Completed",tblEnrollment[[#This Row],[ERA Enrollment Status]]="Approved",tblEnrollment[[#This Row],[Clearinghouse Configuration Status]]="Completed",AB20="NPI Match"),"Ready","Not Ready"),"Not Applicable")</f>
        <v>Not Ready</v>
      </c>
      <c r="AI20" s="4" t="str">
        <f>IF(tblEnrollment[[#This Row],[Blocker Reason]] ="No Blocker","No","Yes")</f>
        <v>Yes</v>
      </c>
    </row>
    <row r="21" spans="1:35" s="4" customFormat="1" ht="29">
      <c r="A21" s="35" t="s">
        <v>420</v>
      </c>
      <c r="B21" s="35" t="s">
        <v>73</v>
      </c>
      <c r="C21" s="35" t="s">
        <v>421</v>
      </c>
      <c r="D21" s="35" t="s">
        <v>36</v>
      </c>
      <c r="E21" s="35" t="s">
        <v>422</v>
      </c>
      <c r="F21" s="35" t="s">
        <v>422</v>
      </c>
      <c r="G21" s="35" t="s">
        <v>422</v>
      </c>
      <c r="H21" s="35" t="s">
        <v>423</v>
      </c>
      <c r="I21" s="35" t="s">
        <v>346</v>
      </c>
      <c r="J21" s="35" t="s">
        <v>424</v>
      </c>
      <c r="K21" s="35" t="s">
        <v>53</v>
      </c>
      <c r="L21" s="35" t="s">
        <v>54</v>
      </c>
      <c r="M21" s="35" t="s">
        <v>45</v>
      </c>
      <c r="N21" s="35" t="s">
        <v>46</v>
      </c>
      <c r="O21" s="35" t="s">
        <v>138</v>
      </c>
      <c r="P21" s="35" t="s">
        <v>138</v>
      </c>
      <c r="Q21" s="35" t="s">
        <v>48</v>
      </c>
      <c r="R21" s="35" t="s">
        <v>140</v>
      </c>
      <c r="S21" s="36">
        <v>46085</v>
      </c>
      <c r="T21" s="36"/>
      <c r="U21" s="35" t="s">
        <v>141</v>
      </c>
      <c r="V21" s="35" t="s">
        <v>329</v>
      </c>
      <c r="W21" s="35" t="s">
        <v>330</v>
      </c>
      <c r="X21" s="36">
        <v>46177</v>
      </c>
      <c r="Y21" s="35" t="s">
        <v>331</v>
      </c>
      <c r="Z21" s="4">
        <f>IF(tblEnrollment[[#This Row],[Approved Date]]="",DATE(2026,6,3)-tblEnrollment[[#This Row],[Submitted Date]],tblEnrollment[[#This Row],[Approved Date]]-tblEnrollment[[#This Row],[Submitted Date]])</f>
        <v>91</v>
      </c>
      <c r="AA21" s="4" t="str">
        <f>IF(tblEnrollment[[#This Row],[Current Status]] ="Ready","Completed",IF(Z21&gt;21,"SLA Breached","Within SLA"))</f>
        <v>SLA Breached</v>
      </c>
      <c r="AB21" s="4" t="str">
        <f>IF(tblEnrollment[[#This Row],[Credentialed NPI]] =tblEnrollment[[#This Row],[Enrolled NPI]],"NPI Match","NPI Mismatch")</f>
        <v>NPI Match</v>
      </c>
      <c r="AC21" s="4" t="str">
        <f>IF(OR(tblEnrollment[[#This Row],[Blocker Reason]] ="Individual NPI used instead of Group NPI",tblEnrollment[[#This Row],[Blocker Reason]] ="Credentialed NPI mismatch",tblEnrollment[[#This Row],[Blocker Reason]] ="Incorrect PTAN/Provider number"),"Yes","No")</f>
        <v>No</v>
      </c>
      <c r="AD21" s="4" t="str">
        <f>IF(OR(tblEnrollment[[#This Row],[Blocker Reason]] ="Wrong Payer ID",tblEnrollment[[#This Row],[Blocker Reason]] ="Old Payer ID used"),"Yes","No")</f>
        <v>Yes</v>
      </c>
      <c r="AE21" s="4" t="str">
        <f>IF(OR(tblEnrollment[[#This Row],[Clearinghouse Portal Updated]]="No",tblEnrollment[[#This Row],[Blocker Reason]] ="Clearinghouse portal not updated"),"Yes","No")</f>
        <v>No</v>
      </c>
      <c r="AF2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Status]]="Completed",AB21="NPI Match"),"Ready","Not Ready"),"Not Applicable")</f>
        <v>Not Ready</v>
      </c>
      <c r="AH21" s="4" t="str">
        <f>IF(OR(tblEnrollment[[#This Row],[Enrollment Type]]="ERA",tblEnrollment[[#This Row],[Enrollment Type]]="Claims and ERA"),IF(AND(tblEnrollment[[#This Row],[Credentialing Status]]="Completed",tblEnrollment[[#This Row],[ERA Enrollment Status]]="Approved",tblEnrollment[[#This Row],[Clearinghouse Configuration Status]]="Completed",AB21="NPI Match"),"Ready","Not Ready"),"Not Applicable")</f>
        <v>Not Ready</v>
      </c>
      <c r="AI21" s="4" t="str">
        <f>IF(tblEnrollment[[#This Row],[Blocker Reason]] ="No Blocker","No","Yes")</f>
        <v>Yes</v>
      </c>
    </row>
    <row r="22" spans="1:35" s="4" customFormat="1" ht="29">
      <c r="A22" s="35" t="s">
        <v>425</v>
      </c>
      <c r="B22" s="35" t="s">
        <v>68</v>
      </c>
      <c r="C22" s="35" t="s">
        <v>426</v>
      </c>
      <c r="D22" s="35" t="s">
        <v>37</v>
      </c>
      <c r="E22" s="35" t="s">
        <v>427</v>
      </c>
      <c r="F22" s="35" t="s">
        <v>427</v>
      </c>
      <c r="G22" s="35" t="s">
        <v>427</v>
      </c>
      <c r="H22" s="35" t="s">
        <v>428</v>
      </c>
      <c r="I22" s="35" t="s">
        <v>132</v>
      </c>
      <c r="J22" s="35" t="s">
        <v>401</v>
      </c>
      <c r="K22" s="35" t="s">
        <v>53</v>
      </c>
      <c r="L22" s="35" t="s">
        <v>54</v>
      </c>
      <c r="M22" s="35" t="s">
        <v>45</v>
      </c>
      <c r="N22" s="35" t="s">
        <v>137</v>
      </c>
      <c r="O22" s="35" t="s">
        <v>57</v>
      </c>
      <c r="P22" s="35" t="s">
        <v>57</v>
      </c>
      <c r="Q22" s="35" t="s">
        <v>58</v>
      </c>
      <c r="R22" s="35" t="s">
        <v>57</v>
      </c>
      <c r="S22" s="36">
        <v>46062</v>
      </c>
      <c r="T22" s="36"/>
      <c r="U22" s="35" t="s">
        <v>56</v>
      </c>
      <c r="V22" s="35" t="s">
        <v>147</v>
      </c>
      <c r="W22" s="35" t="s">
        <v>349</v>
      </c>
      <c r="X22" s="36">
        <v>46176</v>
      </c>
      <c r="Y22" s="35" t="s">
        <v>406</v>
      </c>
      <c r="Z22" s="4">
        <f>IF(tblEnrollment[[#This Row],[Approved Date]]="",DATE(2026,6,3)-tblEnrollment[[#This Row],[Submitted Date]],tblEnrollment[[#This Row],[Approved Date]]-tblEnrollment[[#This Row],[Submitted Date]])</f>
        <v>114</v>
      </c>
      <c r="AA22" s="4" t="str">
        <f>IF(tblEnrollment[[#This Row],[Current Status]] ="Ready","Completed",IF(Z22&gt;21,"SLA Breached","Within SLA"))</f>
        <v>SLA Breached</v>
      </c>
      <c r="AB22" s="4" t="str">
        <f>IF(tblEnrollment[[#This Row],[Credentialed NPI]] =tblEnrollment[[#This Row],[Enrolled NPI]],"NPI Match","NPI Mismatch")</f>
        <v>NPI Match</v>
      </c>
      <c r="AC22" s="4" t="str">
        <f>IF(OR(tblEnrollment[[#This Row],[Blocker Reason]] ="Individual NPI used instead of Group NPI",tblEnrollment[[#This Row],[Blocker Reason]] ="Credentialed NPI mismatch",tblEnrollment[[#This Row],[Blocker Reason]] ="Incorrect PTAN/Provider number"),"Yes","No")</f>
        <v>No</v>
      </c>
      <c r="AD22" s="4" t="str">
        <f>IF(OR(tblEnrollment[[#This Row],[Blocker Reason]] ="Wrong Payer ID",tblEnrollment[[#This Row],[Blocker Reason]] ="Old Payer ID used"),"Yes","No")</f>
        <v>No</v>
      </c>
      <c r="AE22" s="4" t="str">
        <f>IF(OR(tblEnrollment[[#This Row],[Clearinghouse Portal Updated]]="No",tblEnrollment[[#This Row],[Blocker Reason]] ="Clearinghouse portal not updated"),"Yes","No")</f>
        <v>Yes</v>
      </c>
      <c r="AF2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Status]]="Completed",AB22="NPI Match"),"Ready","Not Ready"),"Not Applicable")</f>
        <v>Not Ready</v>
      </c>
      <c r="AH22" s="4" t="str">
        <f>IF(OR(tblEnrollment[[#This Row],[Enrollment Type]]="ERA",tblEnrollment[[#This Row],[Enrollment Type]]="Claims and ERA"),IF(AND(tblEnrollment[[#This Row],[Credentialing Status]]="Completed",tblEnrollment[[#This Row],[ERA Enrollment Status]]="Approved",tblEnrollment[[#This Row],[Clearinghouse Configuration Status]]="Completed",AB22="NPI Match"),"Ready","Not Ready"),"Not Applicable")</f>
        <v>Not Ready</v>
      </c>
      <c r="AI22" s="4" t="str">
        <f>IF(tblEnrollment[[#This Row],[Blocker Reason]] ="No Blocker","No","Yes")</f>
        <v>Yes</v>
      </c>
    </row>
    <row r="23" spans="1:35" s="4" customFormat="1" ht="29">
      <c r="A23" s="35" t="s">
        <v>429</v>
      </c>
      <c r="B23" s="35" t="s">
        <v>340</v>
      </c>
      <c r="C23" s="35" t="s">
        <v>430</v>
      </c>
      <c r="D23" s="35" t="s">
        <v>38</v>
      </c>
      <c r="E23" s="35" t="s">
        <v>94</v>
      </c>
      <c r="F23" s="35" t="s">
        <v>94</v>
      </c>
      <c r="G23" s="35" t="s">
        <v>94</v>
      </c>
      <c r="H23" s="35" t="s">
        <v>114</v>
      </c>
      <c r="I23" s="35" t="s">
        <v>129</v>
      </c>
      <c r="J23" s="35" t="s">
        <v>134</v>
      </c>
      <c r="K23" s="35" t="s">
        <v>44</v>
      </c>
      <c r="L23" s="35" t="s">
        <v>431</v>
      </c>
      <c r="M23" s="35" t="s">
        <v>45</v>
      </c>
      <c r="N23" s="35" t="s">
        <v>46</v>
      </c>
      <c r="O23" s="35" t="s">
        <v>47</v>
      </c>
      <c r="P23" s="35" t="s">
        <v>47</v>
      </c>
      <c r="Q23" s="35" t="s">
        <v>48</v>
      </c>
      <c r="R23" s="35" t="s">
        <v>46</v>
      </c>
      <c r="S23" s="36">
        <v>46083</v>
      </c>
      <c r="T23" s="36">
        <v>46094</v>
      </c>
      <c r="U23" s="35" t="s">
        <v>49</v>
      </c>
      <c r="V23" s="35" t="s">
        <v>348</v>
      </c>
      <c r="W23" s="35" t="s">
        <v>365</v>
      </c>
      <c r="X23" s="36">
        <v>46183</v>
      </c>
      <c r="Y23" s="35" t="s">
        <v>350</v>
      </c>
      <c r="Z23" s="4">
        <f>IF(tblEnrollment[[#This Row],[Approved Date]]="",DATE(2026,6,3)-tblEnrollment[[#This Row],[Submitted Date]],tblEnrollment[[#This Row],[Approved Date]]-tblEnrollment[[#This Row],[Submitted Date]])</f>
        <v>11</v>
      </c>
      <c r="AA23" s="4" t="str">
        <f>IF(tblEnrollment[[#This Row],[Current Status]] ="Ready","Completed",IF(Z23&gt;21,"SLA Breached","Within SLA"))</f>
        <v>Completed</v>
      </c>
      <c r="AB23" s="4" t="str">
        <f>IF(tblEnrollment[[#This Row],[Credentialed NPI]] =tblEnrollment[[#This Row],[Enrolled NPI]],"NPI Match","NPI Mismatch")</f>
        <v>NPI Match</v>
      </c>
      <c r="AC23" s="4" t="str">
        <f>IF(OR(tblEnrollment[[#This Row],[Blocker Reason]] ="Individual NPI used instead of Group NPI",tblEnrollment[[#This Row],[Blocker Reason]] ="Credentialed NPI mismatch",tblEnrollment[[#This Row],[Blocker Reason]] ="Incorrect PTAN/Provider number"),"Yes","No")</f>
        <v>No</v>
      </c>
      <c r="AD23" s="4" t="str">
        <f>IF(OR(tblEnrollment[[#This Row],[Blocker Reason]] ="Wrong Payer ID",tblEnrollment[[#This Row],[Blocker Reason]] ="Old Payer ID used"),"Yes","No")</f>
        <v>No</v>
      </c>
      <c r="AE23" s="4" t="str">
        <f>IF(OR(tblEnrollment[[#This Row],[Clearinghouse Portal Updated]]="No",tblEnrollment[[#This Row],[Blocker Reason]] ="Clearinghouse portal not updated"),"Yes","No")</f>
        <v>No</v>
      </c>
      <c r="AF2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Status]]="Completed",AB23="NPI Match"),"Ready","Not Ready"),"Not Applicable")</f>
        <v>Ready</v>
      </c>
      <c r="AH23" s="4" t="str">
        <f>IF(OR(tblEnrollment[[#This Row],[Enrollment Type]]="ERA",tblEnrollment[[#This Row],[Enrollment Type]]="Claims and ERA"),IF(AND(tblEnrollment[[#This Row],[Credentialing Status]]="Completed",tblEnrollment[[#This Row],[ERA Enrollment Status]]="Approved",tblEnrollment[[#This Row],[Clearinghouse Configuration Status]]="Completed",AB23="NPI Match"),"Ready","Not Ready"),"Not Applicable")</f>
        <v>Ready</v>
      </c>
      <c r="AI23" s="4" t="str">
        <f>IF(tblEnrollment[[#This Row],[Blocker Reason]] ="No Blocker","No","Yes")</f>
        <v>No</v>
      </c>
    </row>
    <row r="24" spans="1:35" s="4" customFormat="1" ht="29">
      <c r="A24" s="35" t="s">
        <v>432</v>
      </c>
      <c r="B24" s="35" t="s">
        <v>70</v>
      </c>
      <c r="C24" s="35" t="s">
        <v>433</v>
      </c>
      <c r="D24" s="35" t="s">
        <v>39</v>
      </c>
      <c r="E24" s="35" t="s">
        <v>85</v>
      </c>
      <c r="F24" s="35" t="s">
        <v>85</v>
      </c>
      <c r="G24" s="35" t="s">
        <v>85</v>
      </c>
      <c r="H24" s="35" t="s">
        <v>400</v>
      </c>
      <c r="I24" s="35" t="s">
        <v>131</v>
      </c>
      <c r="J24" s="35" t="s">
        <v>434</v>
      </c>
      <c r="K24" s="35" t="s">
        <v>53</v>
      </c>
      <c r="L24" s="35" t="s">
        <v>54</v>
      </c>
      <c r="M24" s="35" t="s">
        <v>45</v>
      </c>
      <c r="N24" s="35" t="s">
        <v>46</v>
      </c>
      <c r="O24" s="35" t="s">
        <v>138</v>
      </c>
      <c r="P24" s="35" t="s">
        <v>138</v>
      </c>
      <c r="Q24" s="35" t="s">
        <v>48</v>
      </c>
      <c r="R24" s="35" t="s">
        <v>140</v>
      </c>
      <c r="S24" s="36">
        <v>46097</v>
      </c>
      <c r="T24" s="36"/>
      <c r="U24" s="35" t="s">
        <v>141</v>
      </c>
      <c r="V24" s="35" t="s">
        <v>435</v>
      </c>
      <c r="W24" s="35" t="s">
        <v>349</v>
      </c>
      <c r="X24" s="36">
        <v>46178</v>
      </c>
      <c r="Y24" s="35" t="s">
        <v>436</v>
      </c>
      <c r="Z24" s="4">
        <f>IF(tblEnrollment[[#This Row],[Approved Date]]="",DATE(2026,6,3)-tblEnrollment[[#This Row],[Submitted Date]],tblEnrollment[[#This Row],[Approved Date]]-tblEnrollment[[#This Row],[Submitted Date]])</f>
        <v>79</v>
      </c>
      <c r="AA24" s="4" t="str">
        <f>IF(tblEnrollment[[#This Row],[Current Status]] ="Ready","Completed",IF(Z24&gt;21,"SLA Breached","Within SLA"))</f>
        <v>SLA Breached</v>
      </c>
      <c r="AB24" s="4" t="str">
        <f>IF(tblEnrollment[[#This Row],[Credentialed NPI]] =tblEnrollment[[#This Row],[Enrolled NPI]],"NPI Match","NPI Mismatch")</f>
        <v>NPI Match</v>
      </c>
      <c r="AC24" s="4" t="str">
        <f>IF(OR(tblEnrollment[[#This Row],[Blocker Reason]] ="Individual NPI used instead of Group NPI",tblEnrollment[[#This Row],[Blocker Reason]] ="Credentialed NPI mismatch",tblEnrollment[[#This Row],[Blocker Reason]] ="Incorrect PTAN/Provider number"),"Yes","No")</f>
        <v>No</v>
      </c>
      <c r="AD24" s="4" t="str">
        <f>IF(OR(tblEnrollment[[#This Row],[Blocker Reason]] ="Wrong Payer ID",tblEnrollment[[#This Row],[Blocker Reason]] ="Old Payer ID used"),"Yes","No")</f>
        <v>Yes</v>
      </c>
      <c r="AE24" s="4" t="str">
        <f>IF(OR(tblEnrollment[[#This Row],[Clearinghouse Portal Updated]]="No",tblEnrollment[[#This Row],[Blocker Reason]] ="Clearinghouse portal not updated"),"Yes","No")</f>
        <v>No</v>
      </c>
      <c r="AF2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Status]]="Completed",AB24="NPI Match"),"Ready","Not Ready"),"Not Applicable")</f>
        <v>Not Ready</v>
      </c>
      <c r="AH24" s="4" t="str">
        <f>IF(OR(tblEnrollment[[#This Row],[Enrollment Type]]="ERA",tblEnrollment[[#This Row],[Enrollment Type]]="Claims and ERA"),IF(AND(tblEnrollment[[#This Row],[Credentialing Status]]="Completed",tblEnrollment[[#This Row],[ERA Enrollment Status]]="Approved",tblEnrollment[[#This Row],[Clearinghouse Configuration Status]]="Completed",AB24="NPI Match"),"Ready","Not Ready"),"Not Applicable")</f>
        <v>Not Ready</v>
      </c>
      <c r="AI24" s="4" t="str">
        <f>IF(tblEnrollment[[#This Row],[Blocker Reason]] ="No Blocker","No","Yes")</f>
        <v>Yes</v>
      </c>
    </row>
    <row r="25" spans="1:35" s="4" customFormat="1" ht="29">
      <c r="A25" s="35" t="s">
        <v>437</v>
      </c>
      <c r="B25" s="35" t="s">
        <v>71</v>
      </c>
      <c r="C25" s="35" t="s">
        <v>438</v>
      </c>
      <c r="D25" s="35" t="s">
        <v>40</v>
      </c>
      <c r="E25" s="35" t="s">
        <v>439</v>
      </c>
      <c r="F25" s="35" t="s">
        <v>439</v>
      </c>
      <c r="G25" s="35" t="s">
        <v>439</v>
      </c>
      <c r="H25" s="35" t="s">
        <v>382</v>
      </c>
      <c r="I25" s="35" t="s">
        <v>43</v>
      </c>
      <c r="J25" s="35" t="s">
        <v>357</v>
      </c>
      <c r="K25" s="35" t="s">
        <v>44</v>
      </c>
      <c r="L25" s="35" t="s">
        <v>440</v>
      </c>
      <c r="M25" s="35" t="s">
        <v>55</v>
      </c>
      <c r="N25" s="35" t="s">
        <v>46</v>
      </c>
      <c r="O25" s="35" t="s">
        <v>47</v>
      </c>
      <c r="P25" s="35" t="s">
        <v>139</v>
      </c>
      <c r="Q25" s="35" t="s">
        <v>48</v>
      </c>
      <c r="R25" s="35" t="s">
        <v>46</v>
      </c>
      <c r="S25" s="36">
        <v>46136</v>
      </c>
      <c r="T25" s="36">
        <v>46147</v>
      </c>
      <c r="U25" s="35" t="s">
        <v>49</v>
      </c>
      <c r="V25" s="35" t="s">
        <v>348</v>
      </c>
      <c r="W25" s="35" t="s">
        <v>441</v>
      </c>
      <c r="X25" s="36">
        <v>46183</v>
      </c>
      <c r="Y25" s="35" t="s">
        <v>350</v>
      </c>
      <c r="Z25" s="4">
        <f>IF(tblEnrollment[[#This Row],[Approved Date]]="",DATE(2026,6,3)-tblEnrollment[[#This Row],[Submitted Date]],tblEnrollment[[#This Row],[Approved Date]]-tblEnrollment[[#This Row],[Submitted Date]])</f>
        <v>11</v>
      </c>
      <c r="AA25" s="4" t="str">
        <f>IF(tblEnrollment[[#This Row],[Current Status]] ="Ready","Completed",IF(Z25&gt;21,"SLA Breached","Within SLA"))</f>
        <v>Completed</v>
      </c>
      <c r="AB25" s="4" t="str">
        <f>IF(tblEnrollment[[#This Row],[Credentialed NPI]] =tblEnrollment[[#This Row],[Enrolled NPI]],"NPI Match","NPI Mismatch")</f>
        <v>NPI Match</v>
      </c>
      <c r="AC25" s="4" t="str">
        <f>IF(OR(tblEnrollment[[#This Row],[Blocker Reason]] ="Individual NPI used instead of Group NPI",tblEnrollment[[#This Row],[Blocker Reason]] ="Credentialed NPI mismatch",tblEnrollment[[#This Row],[Blocker Reason]] ="Incorrect PTAN/Provider number"),"Yes","No")</f>
        <v>No</v>
      </c>
      <c r="AD25" s="4" t="str">
        <f>IF(OR(tblEnrollment[[#This Row],[Blocker Reason]] ="Wrong Payer ID",tblEnrollment[[#This Row],[Blocker Reason]] ="Old Payer ID used"),"Yes","No")</f>
        <v>No</v>
      </c>
      <c r="AE25" s="4" t="str">
        <f>IF(OR(tblEnrollment[[#This Row],[Clearinghouse Portal Updated]]="No",tblEnrollment[[#This Row],[Blocker Reason]] ="Clearinghouse portal not updated"),"Yes","No")</f>
        <v>No</v>
      </c>
      <c r="AF2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Status]]="Completed",AB25="NPI Match"),"Ready","Not Ready"),"Not Applicable")</f>
        <v>Ready</v>
      </c>
      <c r="AH25" s="4" t="str">
        <f>IF(OR(tblEnrollment[[#This Row],[Enrollment Type]]="ERA",tblEnrollment[[#This Row],[Enrollment Type]]="Claims and ERA"),IF(AND(tblEnrollment[[#This Row],[Credentialing Status]]="Completed",tblEnrollment[[#This Row],[ERA Enrollment Status]]="Approved",tblEnrollment[[#This Row],[Clearinghouse Configuration Status]]="Completed",AB25="NPI Match"),"Ready","Not Ready"),"Not Applicable")</f>
        <v>Not Applicable</v>
      </c>
      <c r="AI25" s="4" t="str">
        <f>IF(tblEnrollment[[#This Row],[Blocker Reason]] ="No Blocker","No","Yes")</f>
        <v>No</v>
      </c>
    </row>
    <row r="26" spans="1:35" s="5" customFormat="1" ht="29">
      <c r="A26" s="35" t="s">
        <v>442</v>
      </c>
      <c r="B26" s="35" t="s">
        <v>78</v>
      </c>
      <c r="C26" s="35" t="s">
        <v>443</v>
      </c>
      <c r="D26" s="35" t="s">
        <v>444</v>
      </c>
      <c r="E26" s="35" t="s">
        <v>381</v>
      </c>
      <c r="F26" s="35" t="s">
        <v>381</v>
      </c>
      <c r="G26" s="35" t="s">
        <v>381</v>
      </c>
      <c r="H26" s="35" t="s">
        <v>112</v>
      </c>
      <c r="I26" s="35" t="s">
        <v>129</v>
      </c>
      <c r="J26" s="35" t="s">
        <v>134</v>
      </c>
      <c r="K26" s="35" t="s">
        <v>44</v>
      </c>
      <c r="L26" s="35" t="s">
        <v>445</v>
      </c>
      <c r="M26" s="35" t="s">
        <v>55</v>
      </c>
      <c r="N26" s="35" t="s">
        <v>46</v>
      </c>
      <c r="O26" s="35" t="s">
        <v>47</v>
      </c>
      <c r="P26" s="35" t="s">
        <v>139</v>
      </c>
      <c r="Q26" s="35" t="s">
        <v>48</v>
      </c>
      <c r="R26" s="35" t="s">
        <v>46</v>
      </c>
      <c r="S26" s="36">
        <v>46051</v>
      </c>
      <c r="T26" s="36">
        <v>46067</v>
      </c>
      <c r="U26" s="35" t="s">
        <v>49</v>
      </c>
      <c r="V26" s="35" t="s">
        <v>348</v>
      </c>
      <c r="W26" s="35" t="s">
        <v>338</v>
      </c>
      <c r="X26" s="36">
        <v>46187</v>
      </c>
      <c r="Y26" s="35" t="s">
        <v>350</v>
      </c>
      <c r="Z26" s="5">
        <f>IF(tblEnrollment[[#This Row],[Approved Date]]="",DATE(2026,6,3)-tblEnrollment[[#This Row],[Submitted Date]],tblEnrollment[[#This Row],[Approved Date]]-tblEnrollment[[#This Row],[Submitted Date]])</f>
        <v>16</v>
      </c>
      <c r="AA26" s="5" t="str">
        <f>IF(tblEnrollment[[#This Row],[Current Status]] ="Ready","Completed",IF(Z26&gt;21,"SLA Breached","Within SLA"))</f>
        <v>Completed</v>
      </c>
      <c r="AB26" s="5" t="str">
        <f>IF(tblEnrollment[[#This Row],[Credentialed NPI]] =tblEnrollment[[#This Row],[Enrolled NPI]],"NPI Match","NPI Mismatch")</f>
        <v>NPI Match</v>
      </c>
      <c r="AC26" s="5" t="str">
        <f>IF(OR(tblEnrollment[[#This Row],[Blocker Reason]] ="Individual NPI used instead of Group NPI",tblEnrollment[[#This Row],[Blocker Reason]] ="Credentialed NPI mismatch",tblEnrollment[[#This Row],[Blocker Reason]] ="Incorrect PTAN/Provider number"),"Yes","No")</f>
        <v>No</v>
      </c>
      <c r="AD26" s="5" t="str">
        <f>IF(OR(tblEnrollment[[#This Row],[Blocker Reason]] ="Wrong Payer ID",tblEnrollment[[#This Row],[Blocker Reason]] ="Old Payer ID used"),"Yes","No")</f>
        <v>No</v>
      </c>
      <c r="AE26" s="5" t="str">
        <f>IF(OR(tblEnrollment[[#This Row],[Clearinghouse Portal Updated]]="No",tblEnrollment[[#This Row],[Blocker Reason]] ="Clearinghouse portal not updated"),"Yes","No")</f>
        <v>No</v>
      </c>
      <c r="AF2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6" s="5" t="str">
        <f>IF(OR(tblEnrollment[[#This Row],[Enrollment Type]]="Claims",tblEnrollment[[#This Row],[Enrollment Type]]="Claims and ERA"),IF(AND(tblEnrollment[[#This Row],[Credentialing Status]]="Completed",tblEnrollment[[#This Row],[Claims Enrollment Status]]="Approved",tblEnrollment[[#This Row],[Clearinghouse Configuration Status]]="Completed",AB26="NPI Match"),"Ready","Not Ready"),"Not Applicable")</f>
        <v>Ready</v>
      </c>
      <c r="AH26" s="5" t="str">
        <f>IF(OR(tblEnrollment[[#This Row],[Enrollment Type]]="ERA",tblEnrollment[[#This Row],[Enrollment Type]]="Claims and ERA"),IF(AND(tblEnrollment[[#This Row],[Credentialing Status]]="Completed",tblEnrollment[[#This Row],[ERA Enrollment Status]]="Approved",tblEnrollment[[#This Row],[Clearinghouse Configuration Status]]="Completed",AB26="NPI Match"),"Ready","Not Ready"),"Not Applicable")</f>
        <v>Not Applicable</v>
      </c>
      <c r="AI26" s="5" t="str">
        <f>IF(tblEnrollment[[#This Row],[Blocker Reason]] ="No Blocker","No","Yes")</f>
        <v>No</v>
      </c>
    </row>
    <row r="27" spans="1:35" s="5" customFormat="1" ht="29">
      <c r="A27" s="35" t="s">
        <v>446</v>
      </c>
      <c r="B27" s="35" t="s">
        <v>79</v>
      </c>
      <c r="C27" s="35" t="s">
        <v>447</v>
      </c>
      <c r="D27" s="35" t="s">
        <v>448</v>
      </c>
      <c r="E27" s="35" t="s">
        <v>85</v>
      </c>
      <c r="F27" s="35" t="s">
        <v>85</v>
      </c>
      <c r="G27" s="35" t="s">
        <v>85</v>
      </c>
      <c r="H27" s="35" t="s">
        <v>115</v>
      </c>
      <c r="I27" s="35" t="s">
        <v>346</v>
      </c>
      <c r="J27" s="35" t="s">
        <v>347</v>
      </c>
      <c r="K27" s="35" t="s">
        <v>53</v>
      </c>
      <c r="L27" s="35" t="s">
        <v>54</v>
      </c>
      <c r="M27" s="35" t="s">
        <v>45</v>
      </c>
      <c r="N27" s="35" t="s">
        <v>46</v>
      </c>
      <c r="O27" s="35" t="s">
        <v>56</v>
      </c>
      <c r="P27" s="35" t="s">
        <v>56</v>
      </c>
      <c r="Q27" s="35" t="s">
        <v>48</v>
      </c>
      <c r="R27" s="35" t="s">
        <v>137</v>
      </c>
      <c r="S27" s="36">
        <v>46172</v>
      </c>
      <c r="T27" s="36"/>
      <c r="U27" s="35" t="s">
        <v>56</v>
      </c>
      <c r="V27" s="35" t="s">
        <v>148</v>
      </c>
      <c r="W27" s="35" t="s">
        <v>330</v>
      </c>
      <c r="X27" s="36">
        <v>46178</v>
      </c>
      <c r="Y27" s="35" t="s">
        <v>359</v>
      </c>
      <c r="Z27" s="4">
        <f>IF(tblEnrollment[[#This Row],[Approved Date]]="",DATE(2026,6,3)-tblEnrollment[[#This Row],[Submitted Date]],tblEnrollment[[#This Row],[Approved Date]]-tblEnrollment[[#This Row],[Submitted Date]])</f>
        <v>4</v>
      </c>
      <c r="AA27" s="4" t="str">
        <f>IF(tblEnrollment[[#This Row],[Current Status]] ="Ready","Completed",IF(Z27&gt;21,"SLA Breached","Within SLA"))</f>
        <v>Within SLA</v>
      </c>
      <c r="AB27" s="4" t="str">
        <f>IF(tblEnrollment[[#This Row],[Credentialed NPI]] =tblEnrollment[[#This Row],[Enrolled NPI]],"NPI Match","NPI Mismatch")</f>
        <v>NPI Match</v>
      </c>
      <c r="AC27" s="4" t="str">
        <f>IF(OR(tblEnrollment[[#This Row],[Blocker Reason]] ="Individual NPI used instead of Group NPI",tblEnrollment[[#This Row],[Blocker Reason]] ="Credentialed NPI mismatch",tblEnrollment[[#This Row],[Blocker Reason]] ="Incorrect PTAN/Provider number"),"Yes","No")</f>
        <v>No</v>
      </c>
      <c r="AD27" s="4" t="str">
        <f>IF(OR(tblEnrollment[[#This Row],[Blocker Reason]] ="Wrong Payer ID",tblEnrollment[[#This Row],[Blocker Reason]] ="Old Payer ID used"),"Yes","No")</f>
        <v>No</v>
      </c>
      <c r="AE27" s="4" t="str">
        <f>IF(OR(tblEnrollment[[#This Row],[Clearinghouse Portal Updated]]="No",tblEnrollment[[#This Row],[Blocker Reason]] ="Clearinghouse portal not updated"),"Yes","No")</f>
        <v>No</v>
      </c>
      <c r="AF2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Status]]="Completed",AB27="NPI Match"),"Ready","Not Ready"),"Not Applicable")</f>
        <v>Not Ready</v>
      </c>
      <c r="AH27" s="4" t="str">
        <f>IF(OR(tblEnrollment[[#This Row],[Enrollment Type]]="ERA",tblEnrollment[[#This Row],[Enrollment Type]]="Claims and ERA"),IF(AND(tblEnrollment[[#This Row],[Credentialing Status]]="Completed",tblEnrollment[[#This Row],[ERA Enrollment Status]]="Approved",tblEnrollment[[#This Row],[Clearinghouse Configuration Status]]="Completed",AB27="NPI Match"),"Ready","Not Ready"),"Not Applicable")</f>
        <v>Not Ready</v>
      </c>
      <c r="AI27" s="4" t="str">
        <f>IF(tblEnrollment[[#This Row],[Blocker Reason]] ="No Blocker","No","Yes")</f>
        <v>Yes</v>
      </c>
    </row>
    <row r="28" spans="1:35" ht="29">
      <c r="A28" s="35" t="s">
        <v>449</v>
      </c>
      <c r="B28" s="35" t="s">
        <v>395</v>
      </c>
      <c r="C28" s="35" t="s">
        <v>450</v>
      </c>
      <c r="D28" s="35" t="s">
        <v>451</v>
      </c>
      <c r="E28" s="35" t="s">
        <v>334</v>
      </c>
      <c r="F28" s="35" t="s">
        <v>334</v>
      </c>
      <c r="G28" s="35" t="s">
        <v>334</v>
      </c>
      <c r="H28" s="35" t="s">
        <v>110</v>
      </c>
      <c r="I28" s="35" t="s">
        <v>43</v>
      </c>
      <c r="J28" s="35" t="s">
        <v>357</v>
      </c>
      <c r="K28" s="35" t="s">
        <v>44</v>
      </c>
      <c r="L28" s="35" t="s">
        <v>452</v>
      </c>
      <c r="M28" s="35" t="s">
        <v>45</v>
      </c>
      <c r="N28" s="35" t="s">
        <v>46</v>
      </c>
      <c r="O28" s="35" t="s">
        <v>47</v>
      </c>
      <c r="P28" s="35" t="s">
        <v>47</v>
      </c>
      <c r="Q28" s="35" t="s">
        <v>48</v>
      </c>
      <c r="R28" s="35" t="s">
        <v>46</v>
      </c>
      <c r="S28" s="36">
        <v>46067</v>
      </c>
      <c r="T28" s="36">
        <v>46083</v>
      </c>
      <c r="U28" s="35" t="s">
        <v>49</v>
      </c>
      <c r="V28" s="35" t="s">
        <v>348</v>
      </c>
      <c r="W28" s="35" t="s">
        <v>338</v>
      </c>
      <c r="X28" s="36">
        <v>46179</v>
      </c>
      <c r="Y28" s="35" t="s">
        <v>350</v>
      </c>
      <c r="Z28" s="4">
        <f>IF(tblEnrollment[[#This Row],[Approved Date]]="",DATE(2026,6,3)-tblEnrollment[[#This Row],[Submitted Date]],tblEnrollment[[#This Row],[Approved Date]]-tblEnrollment[[#This Row],[Submitted Date]])</f>
        <v>16</v>
      </c>
      <c r="AA28" s="4" t="str">
        <f>IF(tblEnrollment[[#This Row],[Current Status]] ="Ready","Completed",IF(Z28&gt;21,"SLA Breached","Within SLA"))</f>
        <v>Completed</v>
      </c>
      <c r="AB28" s="4" t="str">
        <f>IF(tblEnrollment[[#This Row],[Credentialed NPI]] =tblEnrollment[[#This Row],[Enrolled NPI]],"NPI Match","NPI Mismatch")</f>
        <v>NPI Match</v>
      </c>
      <c r="AC28" s="4" t="str">
        <f>IF(OR(tblEnrollment[[#This Row],[Blocker Reason]] ="Individual NPI used instead of Group NPI",tblEnrollment[[#This Row],[Blocker Reason]] ="Credentialed NPI mismatch",tblEnrollment[[#This Row],[Blocker Reason]] ="Incorrect PTAN/Provider number"),"Yes","No")</f>
        <v>No</v>
      </c>
      <c r="AD28" s="4" t="str">
        <f>IF(OR(tblEnrollment[[#This Row],[Blocker Reason]] ="Wrong Payer ID",tblEnrollment[[#This Row],[Blocker Reason]] ="Old Payer ID used"),"Yes","No")</f>
        <v>No</v>
      </c>
      <c r="AE28" s="4" t="str">
        <f>IF(OR(tblEnrollment[[#This Row],[Clearinghouse Portal Updated]]="No",tblEnrollment[[#This Row],[Blocker Reason]] ="Clearinghouse portal not updated"),"Yes","No")</f>
        <v>No</v>
      </c>
      <c r="AF2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Status]]="Completed",AB28="NPI Match"),"Ready","Not Ready"),"Not Applicable")</f>
        <v>Ready</v>
      </c>
      <c r="AH28" s="4" t="str">
        <f>IF(OR(tblEnrollment[[#This Row],[Enrollment Type]]="ERA",tblEnrollment[[#This Row],[Enrollment Type]]="Claims and ERA"),IF(AND(tblEnrollment[[#This Row],[Credentialing Status]]="Completed",tblEnrollment[[#This Row],[ERA Enrollment Status]]="Approved",tblEnrollment[[#This Row],[Clearinghouse Configuration Status]]="Completed",AB28="NPI Match"),"Ready","Not Ready"),"Not Applicable")</f>
        <v>Ready</v>
      </c>
      <c r="AI28" s="4" t="str">
        <f>IF(tblEnrollment[[#This Row],[Blocker Reason]] ="No Blocker","No","Yes")</f>
        <v>No</v>
      </c>
    </row>
    <row r="29" spans="1:35" ht="29">
      <c r="A29" s="35" t="s">
        <v>453</v>
      </c>
      <c r="B29" s="35" t="s">
        <v>75</v>
      </c>
      <c r="C29" s="35" t="s">
        <v>454</v>
      </c>
      <c r="D29" s="35" t="s">
        <v>455</v>
      </c>
      <c r="E29" s="35" t="s">
        <v>456</v>
      </c>
      <c r="F29" s="35" t="s">
        <v>456</v>
      </c>
      <c r="G29" s="35" t="s">
        <v>456</v>
      </c>
      <c r="H29" s="35" t="s">
        <v>457</v>
      </c>
      <c r="I29" s="35" t="s">
        <v>346</v>
      </c>
      <c r="J29" s="35" t="s">
        <v>347</v>
      </c>
      <c r="K29" s="35" t="s">
        <v>53</v>
      </c>
      <c r="L29" s="35" t="s">
        <v>54</v>
      </c>
      <c r="M29" s="35" t="s">
        <v>45</v>
      </c>
      <c r="N29" s="35" t="s">
        <v>46</v>
      </c>
      <c r="O29" s="35" t="s">
        <v>47</v>
      </c>
      <c r="P29" s="35" t="s">
        <v>56</v>
      </c>
      <c r="Q29" s="35" t="s">
        <v>58</v>
      </c>
      <c r="R29" s="35" t="s">
        <v>56</v>
      </c>
      <c r="S29" s="36">
        <v>46103</v>
      </c>
      <c r="T29" s="36"/>
      <c r="U29" s="35" t="s">
        <v>56</v>
      </c>
      <c r="V29" s="35" t="s">
        <v>143</v>
      </c>
      <c r="W29" s="35" t="s">
        <v>441</v>
      </c>
      <c r="X29" s="36">
        <v>46179</v>
      </c>
      <c r="Y29" s="35" t="s">
        <v>343</v>
      </c>
      <c r="Z29" s="4">
        <f>IF(tblEnrollment[[#This Row],[Approved Date]]="",DATE(2026,6,3)-tblEnrollment[[#This Row],[Submitted Date]],tblEnrollment[[#This Row],[Approved Date]]-tblEnrollment[[#This Row],[Submitted Date]])</f>
        <v>73</v>
      </c>
      <c r="AA29" s="4" t="str">
        <f>IF(tblEnrollment[[#This Row],[Current Status]] ="Ready","Completed",IF(Z29&gt;21,"SLA Breached","Within SLA"))</f>
        <v>SLA Breached</v>
      </c>
      <c r="AB29" s="4" t="str">
        <f>IF(tblEnrollment[[#This Row],[Credentialed NPI]] =tblEnrollment[[#This Row],[Enrolled NPI]],"NPI Match","NPI Mismatch")</f>
        <v>NPI Match</v>
      </c>
      <c r="AC29" s="4" t="str">
        <f>IF(OR(tblEnrollment[[#This Row],[Blocker Reason]] ="Individual NPI used instead of Group NPI",tblEnrollment[[#This Row],[Blocker Reason]] ="Credentialed NPI mismatch",tblEnrollment[[#This Row],[Blocker Reason]] ="Incorrect PTAN/Provider number"),"Yes","No")</f>
        <v>No</v>
      </c>
      <c r="AD29" s="4" t="str">
        <f>IF(OR(tblEnrollment[[#This Row],[Blocker Reason]] ="Wrong Payer ID",tblEnrollment[[#This Row],[Blocker Reason]] ="Old Payer ID used"),"Yes","No")</f>
        <v>No</v>
      </c>
      <c r="AE29" s="4" t="str">
        <f>IF(OR(tblEnrollment[[#This Row],[Clearinghouse Portal Updated]]="No",tblEnrollment[[#This Row],[Blocker Reason]] ="Clearinghouse portal not updated"),"Yes","No")</f>
        <v>Yes</v>
      </c>
      <c r="AF2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Status]]="Completed",AB29="NPI Match"),"Ready","Not Ready"),"Not Applicable")</f>
        <v>Not Ready</v>
      </c>
      <c r="AH29" s="4" t="str">
        <f>IF(OR(tblEnrollment[[#This Row],[Enrollment Type]]="ERA",tblEnrollment[[#This Row],[Enrollment Type]]="Claims and ERA"),IF(AND(tblEnrollment[[#This Row],[Credentialing Status]]="Completed",tblEnrollment[[#This Row],[ERA Enrollment Status]]="Approved",tblEnrollment[[#This Row],[Clearinghouse Configuration Status]]="Completed",AB29="NPI Match"),"Ready","Not Ready"),"Not Applicable")</f>
        <v>Not Ready</v>
      </c>
      <c r="AI29" s="4" t="str">
        <f>IF(tblEnrollment[[#This Row],[Blocker Reason]] ="No Blocker","No","Yes")</f>
        <v>Yes</v>
      </c>
    </row>
    <row r="30" spans="1:35" ht="29">
      <c r="A30" s="35" t="s">
        <v>458</v>
      </c>
      <c r="B30" s="35" t="s">
        <v>65</v>
      </c>
      <c r="C30" s="35" t="s">
        <v>459</v>
      </c>
      <c r="D30" s="35" t="s">
        <v>460</v>
      </c>
      <c r="E30" s="35" t="s">
        <v>456</v>
      </c>
      <c r="F30" s="35" t="s">
        <v>456</v>
      </c>
      <c r="G30" s="35" t="s">
        <v>456</v>
      </c>
      <c r="H30" s="35" t="s">
        <v>117</v>
      </c>
      <c r="I30" s="35" t="s">
        <v>131</v>
      </c>
      <c r="J30" s="35" t="s">
        <v>342</v>
      </c>
      <c r="K30" s="35" t="s">
        <v>53</v>
      </c>
      <c r="L30" s="35" t="s">
        <v>54</v>
      </c>
      <c r="M30" s="35" t="s">
        <v>136</v>
      </c>
      <c r="N30" s="35" t="s">
        <v>46</v>
      </c>
      <c r="O30" s="35" t="s">
        <v>139</v>
      </c>
      <c r="P30" s="35" t="s">
        <v>56</v>
      </c>
      <c r="Q30" s="35" t="s">
        <v>58</v>
      </c>
      <c r="R30" s="35" t="s">
        <v>56</v>
      </c>
      <c r="S30" s="36">
        <v>46055</v>
      </c>
      <c r="T30" s="36"/>
      <c r="U30" s="35" t="s">
        <v>56</v>
      </c>
      <c r="V30" s="35" t="s">
        <v>143</v>
      </c>
      <c r="W30" s="35" t="s">
        <v>349</v>
      </c>
      <c r="X30" s="36">
        <v>46176</v>
      </c>
      <c r="Y30" s="35" t="s">
        <v>343</v>
      </c>
      <c r="Z30" s="4">
        <f>IF(tblEnrollment[[#This Row],[Approved Date]]="",DATE(2026,6,3)-tblEnrollment[[#This Row],[Submitted Date]],tblEnrollment[[#This Row],[Approved Date]]-tblEnrollment[[#This Row],[Submitted Date]])</f>
        <v>121</v>
      </c>
      <c r="AA30" s="4" t="str">
        <f>IF(tblEnrollment[[#This Row],[Current Status]] ="Ready","Completed",IF(Z30&gt;21,"SLA Breached","Within SLA"))</f>
        <v>SLA Breached</v>
      </c>
      <c r="AB30" s="4" t="str">
        <f>IF(tblEnrollment[[#This Row],[Credentialed NPI]] =tblEnrollment[[#This Row],[Enrolled NPI]],"NPI Match","NPI Mismatch")</f>
        <v>NPI Match</v>
      </c>
      <c r="AC30" s="4" t="str">
        <f>IF(OR(tblEnrollment[[#This Row],[Blocker Reason]] ="Individual NPI used instead of Group NPI",tblEnrollment[[#This Row],[Blocker Reason]] ="Credentialed NPI mismatch",tblEnrollment[[#This Row],[Blocker Reason]] ="Incorrect PTAN/Provider number"),"Yes","No")</f>
        <v>No</v>
      </c>
      <c r="AD30" s="4" t="str">
        <f>IF(OR(tblEnrollment[[#This Row],[Blocker Reason]] ="Wrong Payer ID",tblEnrollment[[#This Row],[Blocker Reason]] ="Old Payer ID used"),"Yes","No")</f>
        <v>No</v>
      </c>
      <c r="AE30" s="4" t="str">
        <f>IF(OR(tblEnrollment[[#This Row],[Clearinghouse Portal Updated]]="No",tblEnrollment[[#This Row],[Blocker Reason]] ="Clearinghouse portal not updated"),"Yes","No")</f>
        <v>Yes</v>
      </c>
      <c r="AF3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3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Status]]="Completed",AB30="NPI Match"),"Ready","Not Ready"),"Not Applicable")</f>
        <v>Not Applicable</v>
      </c>
      <c r="AH30" s="4" t="str">
        <f>IF(OR(tblEnrollment[[#This Row],[Enrollment Type]]="ERA",tblEnrollment[[#This Row],[Enrollment Type]]="Claims and ERA"),IF(AND(tblEnrollment[[#This Row],[Credentialing Status]]="Completed",tblEnrollment[[#This Row],[ERA Enrollment Status]]="Approved",tblEnrollment[[#This Row],[Clearinghouse Configuration Status]]="Completed",AB30="NPI Match"),"Ready","Not Ready"),"Not Applicable")</f>
        <v>Not Ready</v>
      </c>
      <c r="AI30" s="4" t="str">
        <f>IF(tblEnrollment[[#This Row],[Blocker Reason]] ="No Blocker","No","Yes")</f>
        <v>Yes</v>
      </c>
    </row>
    <row r="31" spans="1:35" ht="29">
      <c r="A31" s="35" t="s">
        <v>461</v>
      </c>
      <c r="B31" s="35" t="s">
        <v>60</v>
      </c>
      <c r="C31" s="35" t="s">
        <v>462</v>
      </c>
      <c r="D31" s="35" t="s">
        <v>463</v>
      </c>
      <c r="E31" s="35" t="s">
        <v>464</v>
      </c>
      <c r="F31" s="35" t="s">
        <v>464</v>
      </c>
      <c r="G31" s="35" t="s">
        <v>464</v>
      </c>
      <c r="H31" s="35" t="s">
        <v>465</v>
      </c>
      <c r="I31" s="35" t="s">
        <v>51</v>
      </c>
      <c r="J31" s="35" t="s">
        <v>52</v>
      </c>
      <c r="K31" s="35" t="s">
        <v>53</v>
      </c>
      <c r="L31" s="35" t="s">
        <v>54</v>
      </c>
      <c r="M31" s="35" t="s">
        <v>55</v>
      </c>
      <c r="N31" s="35" t="s">
        <v>46</v>
      </c>
      <c r="O31" s="35" t="s">
        <v>47</v>
      </c>
      <c r="P31" s="35" t="s">
        <v>139</v>
      </c>
      <c r="Q31" s="35" t="s">
        <v>58</v>
      </c>
      <c r="R31" s="35" t="s">
        <v>56</v>
      </c>
      <c r="S31" s="36">
        <v>46054</v>
      </c>
      <c r="T31" s="36"/>
      <c r="U31" s="35" t="s">
        <v>56</v>
      </c>
      <c r="V31" s="35" t="s">
        <v>143</v>
      </c>
      <c r="W31" s="35" t="s">
        <v>441</v>
      </c>
      <c r="X31" s="36">
        <v>46179</v>
      </c>
      <c r="Y31" s="35" t="s">
        <v>343</v>
      </c>
      <c r="Z31" s="4">
        <f>IF(tblEnrollment[[#This Row],[Approved Date]]="",DATE(2026,6,3)-tblEnrollment[[#This Row],[Submitted Date]],tblEnrollment[[#This Row],[Approved Date]]-tblEnrollment[[#This Row],[Submitted Date]])</f>
        <v>122</v>
      </c>
      <c r="AA31" s="4" t="str">
        <f>IF(tblEnrollment[[#This Row],[Current Status]] ="Ready","Completed",IF(Z31&gt;21,"SLA Breached","Within SLA"))</f>
        <v>SLA Breached</v>
      </c>
      <c r="AB31" s="4" t="str">
        <f>IF(tblEnrollment[[#This Row],[Credentialed NPI]] =tblEnrollment[[#This Row],[Enrolled NPI]],"NPI Match","NPI Mismatch")</f>
        <v>NPI Match</v>
      </c>
      <c r="AC31" s="4" t="str">
        <f>IF(OR(tblEnrollment[[#This Row],[Blocker Reason]] ="Individual NPI used instead of Group NPI",tblEnrollment[[#This Row],[Blocker Reason]] ="Credentialed NPI mismatch",tblEnrollment[[#This Row],[Blocker Reason]] ="Incorrect PTAN/Provider number"),"Yes","No")</f>
        <v>No</v>
      </c>
      <c r="AD31" s="4" t="str">
        <f>IF(OR(tblEnrollment[[#This Row],[Blocker Reason]] ="Wrong Payer ID",tblEnrollment[[#This Row],[Blocker Reason]] ="Old Payer ID used"),"Yes","No")</f>
        <v>No</v>
      </c>
      <c r="AE31" s="4" t="str">
        <f>IF(OR(tblEnrollment[[#This Row],[Clearinghouse Portal Updated]]="No",tblEnrollment[[#This Row],[Blocker Reason]] ="Clearinghouse portal not updated"),"Yes","No")</f>
        <v>Yes</v>
      </c>
      <c r="AF3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3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Status]]="Completed",AB31="NPI Match"),"Ready","Not Ready"),"Not Applicable")</f>
        <v>Not Ready</v>
      </c>
      <c r="AH31" s="4" t="str">
        <f>IF(OR(tblEnrollment[[#This Row],[Enrollment Type]]="ERA",tblEnrollment[[#This Row],[Enrollment Type]]="Claims and ERA"),IF(AND(tblEnrollment[[#This Row],[Credentialing Status]]="Completed",tblEnrollment[[#This Row],[ERA Enrollment Status]]="Approved",tblEnrollment[[#This Row],[Clearinghouse Configuration Status]]="Completed",AB31="NPI Match"),"Ready","Not Ready"),"Not Applicable")</f>
        <v>Not Applicable</v>
      </c>
      <c r="AI31" s="4" t="str">
        <f>IF(tblEnrollment[[#This Row],[Blocker Reason]] ="No Blocker","No","Yes")</f>
        <v>Yes</v>
      </c>
    </row>
    <row r="32" spans="1:35" ht="29">
      <c r="A32" s="35" t="s">
        <v>466</v>
      </c>
      <c r="B32" s="35" t="s">
        <v>361</v>
      </c>
      <c r="C32" s="35" t="s">
        <v>467</v>
      </c>
      <c r="D32" s="35" t="s">
        <v>468</v>
      </c>
      <c r="E32" s="35" t="s">
        <v>405</v>
      </c>
      <c r="F32" s="35" t="s">
        <v>405</v>
      </c>
      <c r="G32" s="35" t="s">
        <v>405</v>
      </c>
      <c r="H32" s="35" t="s">
        <v>469</v>
      </c>
      <c r="I32" s="35" t="s">
        <v>131</v>
      </c>
      <c r="J32" s="35" t="s">
        <v>342</v>
      </c>
      <c r="K32" s="35" t="s">
        <v>53</v>
      </c>
      <c r="L32" s="35" t="s">
        <v>54</v>
      </c>
      <c r="M32" s="35" t="s">
        <v>136</v>
      </c>
      <c r="N32" s="35" t="s">
        <v>46</v>
      </c>
      <c r="O32" s="35" t="s">
        <v>139</v>
      </c>
      <c r="P32" s="35" t="s">
        <v>56</v>
      </c>
      <c r="Q32" s="35" t="s">
        <v>48</v>
      </c>
      <c r="R32" s="35" t="s">
        <v>137</v>
      </c>
      <c r="S32" s="36">
        <v>46172</v>
      </c>
      <c r="T32" s="36"/>
      <c r="U32" s="35" t="s">
        <v>56</v>
      </c>
      <c r="V32" s="35" t="s">
        <v>364</v>
      </c>
      <c r="W32" s="35" t="s">
        <v>338</v>
      </c>
      <c r="X32" s="36">
        <v>46176</v>
      </c>
      <c r="Y32" s="35" t="s">
        <v>366</v>
      </c>
      <c r="Z32" s="4">
        <f>IF(tblEnrollment[[#This Row],[Approved Date]]="",DATE(2026,6,3)-tblEnrollment[[#This Row],[Submitted Date]],tblEnrollment[[#This Row],[Approved Date]]-tblEnrollment[[#This Row],[Submitted Date]])</f>
        <v>4</v>
      </c>
      <c r="AA32" s="4" t="str">
        <f>IF(tblEnrollment[[#This Row],[Current Status]] ="Ready","Completed",IF(Z32&gt;21,"SLA Breached","Within SLA"))</f>
        <v>Within SLA</v>
      </c>
      <c r="AB32" s="4" t="str">
        <f>IF(tblEnrollment[[#This Row],[Credentialed NPI]] =tblEnrollment[[#This Row],[Enrolled NPI]],"NPI Match","NPI Mismatch")</f>
        <v>NPI Match</v>
      </c>
      <c r="AC32" s="4" t="str">
        <f>IF(OR(tblEnrollment[[#This Row],[Blocker Reason]] ="Individual NPI used instead of Group NPI",tblEnrollment[[#This Row],[Blocker Reason]] ="Credentialed NPI mismatch",tblEnrollment[[#This Row],[Blocker Reason]] ="Incorrect PTAN/Provider number"),"Yes","No")</f>
        <v>No</v>
      </c>
      <c r="AD32" s="4" t="str">
        <f>IF(OR(tblEnrollment[[#This Row],[Blocker Reason]] ="Wrong Payer ID",tblEnrollment[[#This Row],[Blocker Reason]] ="Old Payer ID used"),"Yes","No")</f>
        <v>No</v>
      </c>
      <c r="AE32" s="4" t="str">
        <f>IF(OR(tblEnrollment[[#This Row],[Clearinghouse Portal Updated]]="No",tblEnrollment[[#This Row],[Blocker Reason]] ="Clearinghouse portal not updated"),"Yes","No")</f>
        <v>No</v>
      </c>
      <c r="AF3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3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Status]]="Completed",AB32="NPI Match"),"Ready","Not Ready"),"Not Applicable")</f>
        <v>Not Applicable</v>
      </c>
      <c r="AH32" s="4" t="str">
        <f>IF(OR(tblEnrollment[[#This Row],[Enrollment Type]]="ERA",tblEnrollment[[#This Row],[Enrollment Type]]="Claims and ERA"),IF(AND(tblEnrollment[[#This Row],[Credentialing Status]]="Completed",tblEnrollment[[#This Row],[ERA Enrollment Status]]="Approved",tblEnrollment[[#This Row],[Clearinghouse Configuration Status]]="Completed",AB32="NPI Match"),"Ready","Not Ready"),"Not Applicable")</f>
        <v>Not Ready</v>
      </c>
      <c r="AI32" s="4" t="str">
        <f>IF(tblEnrollment[[#This Row],[Blocker Reason]] ="No Blocker","No","Yes")</f>
        <v>Yes</v>
      </c>
    </row>
    <row r="33" spans="1:35" ht="29">
      <c r="A33" s="35" t="s">
        <v>470</v>
      </c>
      <c r="B33" s="35" t="s">
        <v>471</v>
      </c>
      <c r="C33" s="35" t="s">
        <v>472</v>
      </c>
      <c r="D33" s="35" t="s">
        <v>473</v>
      </c>
      <c r="E33" s="35" t="s">
        <v>90</v>
      </c>
      <c r="F33" s="35" t="s">
        <v>90</v>
      </c>
      <c r="G33" s="35" t="s">
        <v>90</v>
      </c>
      <c r="H33" s="35" t="s">
        <v>474</v>
      </c>
      <c r="I33" s="35" t="s">
        <v>51</v>
      </c>
      <c r="J33" s="35" t="s">
        <v>52</v>
      </c>
      <c r="K33" s="35" t="s">
        <v>53</v>
      </c>
      <c r="L33" s="35" t="s">
        <v>54</v>
      </c>
      <c r="M33" s="35" t="s">
        <v>55</v>
      </c>
      <c r="N33" s="35" t="s">
        <v>46</v>
      </c>
      <c r="O33" s="35" t="s">
        <v>47</v>
      </c>
      <c r="P33" s="35" t="s">
        <v>139</v>
      </c>
      <c r="Q33" s="35" t="s">
        <v>48</v>
      </c>
      <c r="R33" s="35" t="s">
        <v>46</v>
      </c>
      <c r="S33" s="36">
        <v>46076</v>
      </c>
      <c r="T33" s="36">
        <v>46087</v>
      </c>
      <c r="U33" s="35" t="s">
        <v>49</v>
      </c>
      <c r="V33" s="35" t="s">
        <v>348</v>
      </c>
      <c r="W33" s="35" t="s">
        <v>338</v>
      </c>
      <c r="X33" s="36">
        <v>46180</v>
      </c>
      <c r="Y33" s="35" t="s">
        <v>350</v>
      </c>
      <c r="Z33" s="4">
        <f>IF(tblEnrollment[[#This Row],[Approved Date]]="",DATE(2026,6,3)-tblEnrollment[[#This Row],[Submitted Date]],tblEnrollment[[#This Row],[Approved Date]]-tblEnrollment[[#This Row],[Submitted Date]])</f>
        <v>11</v>
      </c>
      <c r="AA33" s="4" t="str">
        <f>IF(tblEnrollment[[#This Row],[Current Status]] ="Ready","Completed",IF(Z33&gt;21,"SLA Breached","Within SLA"))</f>
        <v>Completed</v>
      </c>
      <c r="AB33" s="4" t="str">
        <f>IF(tblEnrollment[[#This Row],[Credentialed NPI]] =tblEnrollment[[#This Row],[Enrolled NPI]],"NPI Match","NPI Mismatch")</f>
        <v>NPI Match</v>
      </c>
      <c r="AC33" s="4" t="str">
        <f>IF(OR(tblEnrollment[[#This Row],[Blocker Reason]] ="Individual NPI used instead of Group NPI",tblEnrollment[[#This Row],[Blocker Reason]] ="Credentialed NPI mismatch",tblEnrollment[[#This Row],[Blocker Reason]] ="Incorrect PTAN/Provider number"),"Yes","No")</f>
        <v>No</v>
      </c>
      <c r="AD33" s="4" t="str">
        <f>IF(OR(tblEnrollment[[#This Row],[Blocker Reason]] ="Wrong Payer ID",tblEnrollment[[#This Row],[Blocker Reason]] ="Old Payer ID used"),"Yes","No")</f>
        <v>No</v>
      </c>
      <c r="AE33" s="4" t="str">
        <f>IF(OR(tblEnrollment[[#This Row],[Clearinghouse Portal Updated]]="No",tblEnrollment[[#This Row],[Blocker Reason]] ="Clearinghouse portal not updated"),"Yes","No")</f>
        <v>No</v>
      </c>
      <c r="AF3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3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Status]]="Completed",AB33="NPI Match"),"Ready","Not Ready"),"Not Applicable")</f>
        <v>Ready</v>
      </c>
      <c r="AH33" s="4" t="str">
        <f>IF(OR(tblEnrollment[[#This Row],[Enrollment Type]]="ERA",tblEnrollment[[#This Row],[Enrollment Type]]="Claims and ERA"),IF(AND(tblEnrollment[[#This Row],[Credentialing Status]]="Completed",tblEnrollment[[#This Row],[ERA Enrollment Status]]="Approved",tblEnrollment[[#This Row],[Clearinghouse Configuration Status]]="Completed",AB33="NPI Match"),"Ready","Not Ready"),"Not Applicable")</f>
        <v>Not Applicable</v>
      </c>
      <c r="AI33" s="4" t="str">
        <f>IF(tblEnrollment[[#This Row],[Blocker Reason]] ="No Blocker","No","Yes")</f>
        <v>No</v>
      </c>
    </row>
    <row r="34" spans="1:35" ht="29">
      <c r="A34" s="35" t="s">
        <v>475</v>
      </c>
      <c r="B34" s="35" t="s">
        <v>78</v>
      </c>
      <c r="C34" s="35" t="s">
        <v>476</v>
      </c>
      <c r="D34" s="35" t="s">
        <v>477</v>
      </c>
      <c r="E34" s="35" t="s">
        <v>478</v>
      </c>
      <c r="F34" s="35" t="s">
        <v>478</v>
      </c>
      <c r="G34" s="35" t="s">
        <v>477</v>
      </c>
      <c r="H34" s="35" t="s">
        <v>382</v>
      </c>
      <c r="I34" s="35" t="s">
        <v>131</v>
      </c>
      <c r="J34" s="35" t="s">
        <v>342</v>
      </c>
      <c r="K34" s="35" t="s">
        <v>53</v>
      </c>
      <c r="L34" s="35" t="s">
        <v>54</v>
      </c>
      <c r="M34" s="35" t="s">
        <v>45</v>
      </c>
      <c r="N34" s="35" t="s">
        <v>46</v>
      </c>
      <c r="O34" s="35" t="s">
        <v>138</v>
      </c>
      <c r="P34" s="35" t="s">
        <v>138</v>
      </c>
      <c r="Q34" s="35" t="s">
        <v>48</v>
      </c>
      <c r="R34" s="35" t="s">
        <v>140</v>
      </c>
      <c r="S34" s="36">
        <v>46101</v>
      </c>
      <c r="T34" s="36"/>
      <c r="U34" s="35" t="s">
        <v>141</v>
      </c>
      <c r="V34" s="35" t="s">
        <v>412</v>
      </c>
      <c r="W34" s="35" t="s">
        <v>330</v>
      </c>
      <c r="X34" s="36">
        <v>46176</v>
      </c>
      <c r="Y34" s="35" t="s">
        <v>413</v>
      </c>
      <c r="Z34" s="4">
        <f>IF(tblEnrollment[[#This Row],[Approved Date]]="",DATE(2026,6,3)-tblEnrollment[[#This Row],[Submitted Date]],tblEnrollment[[#This Row],[Approved Date]]-tblEnrollment[[#This Row],[Submitted Date]])</f>
        <v>75</v>
      </c>
      <c r="AA34" s="4" t="str">
        <f>IF(tblEnrollment[[#This Row],[Current Status]] ="Ready","Completed",IF(Z34&gt;21,"SLA Breached","Within SLA"))</f>
        <v>SLA Breached</v>
      </c>
      <c r="AB34" s="4" t="str">
        <f>IF(tblEnrollment[[#This Row],[Credentialed NPI]] =tblEnrollment[[#This Row],[Enrolled NPI]],"NPI Match","NPI Mismatch")</f>
        <v>NPI Mismatch</v>
      </c>
      <c r="AC34" s="4" t="str">
        <f>IF(OR(tblEnrollment[[#This Row],[Blocker Reason]] ="Individual NPI used instead of Group NPI",tblEnrollment[[#This Row],[Blocker Reason]] ="Credentialed NPI mismatch",tblEnrollment[[#This Row],[Blocker Reason]] ="Incorrect PTAN/Provider number"),"Yes","No")</f>
        <v>Yes</v>
      </c>
      <c r="AD34" s="4" t="str">
        <f>IF(OR(tblEnrollment[[#This Row],[Blocker Reason]] ="Wrong Payer ID",tblEnrollment[[#This Row],[Blocker Reason]] ="Old Payer ID used"),"Yes","No")</f>
        <v>No</v>
      </c>
      <c r="AE34" s="4" t="str">
        <f>IF(OR(tblEnrollment[[#This Row],[Clearinghouse Portal Updated]]="No",tblEnrollment[[#This Row],[Blocker Reason]] ="Clearinghouse portal not updated"),"Yes","No")</f>
        <v>No</v>
      </c>
      <c r="AF3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3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Status]]="Completed",AB34="NPI Match"),"Ready","Not Ready"),"Not Applicable")</f>
        <v>Not Ready</v>
      </c>
      <c r="AH34" s="4" t="str">
        <f>IF(OR(tblEnrollment[[#This Row],[Enrollment Type]]="ERA",tblEnrollment[[#This Row],[Enrollment Type]]="Claims and ERA"),IF(AND(tblEnrollment[[#This Row],[Credentialing Status]]="Completed",tblEnrollment[[#This Row],[ERA Enrollment Status]]="Approved",tblEnrollment[[#This Row],[Clearinghouse Configuration Status]]="Completed",AB34="NPI Match"),"Ready","Not Ready"),"Not Applicable")</f>
        <v>Not Ready</v>
      </c>
      <c r="AI34" s="4" t="str">
        <f>IF(tblEnrollment[[#This Row],[Blocker Reason]] ="No Blocker","No","Yes")</f>
        <v>Yes</v>
      </c>
    </row>
    <row r="35" spans="1:35" ht="29">
      <c r="A35" s="35" t="s">
        <v>479</v>
      </c>
      <c r="B35" s="35" t="s">
        <v>403</v>
      </c>
      <c r="C35" s="35" t="s">
        <v>480</v>
      </c>
      <c r="D35" s="35" t="s">
        <v>481</v>
      </c>
      <c r="E35" s="35" t="s">
        <v>41</v>
      </c>
      <c r="F35" s="35" t="s">
        <v>41</v>
      </c>
      <c r="G35" s="35" t="s">
        <v>41</v>
      </c>
      <c r="H35" s="35" t="s">
        <v>382</v>
      </c>
      <c r="I35" s="35" t="s">
        <v>51</v>
      </c>
      <c r="J35" s="35" t="s">
        <v>52</v>
      </c>
      <c r="K35" s="35" t="s">
        <v>53</v>
      </c>
      <c r="L35" s="35" t="s">
        <v>54</v>
      </c>
      <c r="M35" s="35" t="s">
        <v>45</v>
      </c>
      <c r="N35" s="35" t="s">
        <v>46</v>
      </c>
      <c r="O35" s="35" t="s">
        <v>138</v>
      </c>
      <c r="P35" s="35" t="s">
        <v>138</v>
      </c>
      <c r="Q35" s="35" t="s">
        <v>48</v>
      </c>
      <c r="R35" s="35" t="s">
        <v>140</v>
      </c>
      <c r="S35" s="36">
        <v>46104</v>
      </c>
      <c r="T35" s="36"/>
      <c r="U35" s="35" t="s">
        <v>141</v>
      </c>
      <c r="V35" s="35" t="s">
        <v>377</v>
      </c>
      <c r="W35" s="35" t="s">
        <v>349</v>
      </c>
      <c r="X35" s="36">
        <v>46178</v>
      </c>
      <c r="Y35" s="35" t="s">
        <v>378</v>
      </c>
      <c r="Z35" s="4">
        <f>IF(tblEnrollment[[#This Row],[Approved Date]]="",DATE(2026,6,3)-tblEnrollment[[#This Row],[Submitted Date]],tblEnrollment[[#This Row],[Approved Date]]-tblEnrollment[[#This Row],[Submitted Date]])</f>
        <v>72</v>
      </c>
      <c r="AA35" s="4" t="str">
        <f>IF(tblEnrollment[[#This Row],[Current Status]] ="Ready","Completed",IF(Z35&gt;21,"SLA Breached","Within SLA"))</f>
        <v>SLA Breached</v>
      </c>
      <c r="AB35" s="4" t="str">
        <f>IF(tblEnrollment[[#This Row],[Credentialed NPI]] =tblEnrollment[[#This Row],[Enrolled NPI]],"NPI Match","NPI Mismatch")</f>
        <v>NPI Match</v>
      </c>
      <c r="AC35" s="4" t="str">
        <f>IF(OR(tblEnrollment[[#This Row],[Blocker Reason]] ="Individual NPI used instead of Group NPI",tblEnrollment[[#This Row],[Blocker Reason]] ="Credentialed NPI mismatch",tblEnrollment[[#This Row],[Blocker Reason]] ="Incorrect PTAN/Provider number"),"Yes","No")</f>
        <v>Yes</v>
      </c>
      <c r="AD35" s="4" t="str">
        <f>IF(OR(tblEnrollment[[#This Row],[Blocker Reason]] ="Wrong Payer ID",tblEnrollment[[#This Row],[Blocker Reason]] ="Old Payer ID used"),"Yes","No")</f>
        <v>No</v>
      </c>
      <c r="AE35" s="4" t="str">
        <f>IF(OR(tblEnrollment[[#This Row],[Clearinghouse Portal Updated]]="No",tblEnrollment[[#This Row],[Blocker Reason]] ="Clearinghouse portal not updated"),"Yes","No")</f>
        <v>No</v>
      </c>
      <c r="AF3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Yes</v>
      </c>
      <c r="AG3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Status]]="Completed",AB35="NPI Match"),"Ready","Not Ready"),"Not Applicable")</f>
        <v>Not Ready</v>
      </c>
      <c r="AH35" s="4" t="str">
        <f>IF(OR(tblEnrollment[[#This Row],[Enrollment Type]]="ERA",tblEnrollment[[#This Row],[Enrollment Type]]="Claims and ERA"),IF(AND(tblEnrollment[[#This Row],[Credentialing Status]]="Completed",tblEnrollment[[#This Row],[ERA Enrollment Status]]="Approved",tblEnrollment[[#This Row],[Clearinghouse Configuration Status]]="Completed",AB35="NPI Match"),"Ready","Not Ready"),"Not Applicable")</f>
        <v>Not Ready</v>
      </c>
      <c r="AI35" s="4" t="str">
        <f>IF(tblEnrollment[[#This Row],[Blocker Reason]] ="No Blocker","No","Yes")</f>
        <v>Yes</v>
      </c>
    </row>
    <row r="36" spans="1:35" ht="29">
      <c r="A36" s="35" t="s">
        <v>482</v>
      </c>
      <c r="B36" s="35" t="s">
        <v>73</v>
      </c>
      <c r="C36" s="35" t="s">
        <v>483</v>
      </c>
      <c r="D36" s="35" t="s">
        <v>484</v>
      </c>
      <c r="E36" s="35" t="s">
        <v>86</v>
      </c>
      <c r="F36" s="35" t="s">
        <v>86</v>
      </c>
      <c r="G36" s="35" t="s">
        <v>485</v>
      </c>
      <c r="H36" s="35" t="s">
        <v>110</v>
      </c>
      <c r="I36" s="35" t="s">
        <v>131</v>
      </c>
      <c r="J36" s="35" t="s">
        <v>342</v>
      </c>
      <c r="K36" s="35" t="s">
        <v>53</v>
      </c>
      <c r="L36" s="35" t="s">
        <v>54</v>
      </c>
      <c r="M36" s="35" t="s">
        <v>45</v>
      </c>
      <c r="N36" s="35" t="s">
        <v>46</v>
      </c>
      <c r="O36" s="35" t="s">
        <v>138</v>
      </c>
      <c r="P36" s="35" t="s">
        <v>138</v>
      </c>
      <c r="Q36" s="35" t="s">
        <v>48</v>
      </c>
      <c r="R36" s="35" t="s">
        <v>140</v>
      </c>
      <c r="S36" s="36">
        <v>46074</v>
      </c>
      <c r="T36" s="36"/>
      <c r="U36" s="35" t="s">
        <v>141</v>
      </c>
      <c r="V36" s="35" t="s">
        <v>144</v>
      </c>
      <c r="W36" s="35" t="s">
        <v>365</v>
      </c>
      <c r="X36" s="36">
        <v>46182</v>
      </c>
      <c r="Y36" s="35" t="s">
        <v>389</v>
      </c>
      <c r="Z36" s="4">
        <f>IF(tblEnrollment[[#This Row],[Approved Date]]="",DATE(2026,6,3)-tblEnrollment[[#This Row],[Submitted Date]],tblEnrollment[[#This Row],[Approved Date]]-tblEnrollment[[#This Row],[Submitted Date]])</f>
        <v>102</v>
      </c>
      <c r="AA36" s="4" t="str">
        <f>IF(tblEnrollment[[#This Row],[Current Status]] ="Ready","Completed",IF(Z36&gt;21,"SLA Breached","Within SLA"))</f>
        <v>SLA Breached</v>
      </c>
      <c r="AB36" s="4" t="str">
        <f>IF(tblEnrollment[[#This Row],[Credentialed NPI]] =tblEnrollment[[#This Row],[Enrolled NPI]],"NPI Match","NPI Mismatch")</f>
        <v>NPI Mismatch</v>
      </c>
      <c r="AC36" s="4" t="str">
        <f>IF(OR(tblEnrollment[[#This Row],[Blocker Reason]] ="Individual NPI used instead of Group NPI",tblEnrollment[[#This Row],[Blocker Reason]] ="Credentialed NPI mismatch",tblEnrollment[[#This Row],[Blocker Reason]] ="Incorrect PTAN/Provider number"),"Yes","No")</f>
        <v>Yes</v>
      </c>
      <c r="AD36" s="4" t="str">
        <f>IF(OR(tblEnrollment[[#This Row],[Blocker Reason]] ="Wrong Payer ID",tblEnrollment[[#This Row],[Blocker Reason]] ="Old Payer ID used"),"Yes","No")</f>
        <v>No</v>
      </c>
      <c r="AE36" s="4" t="str">
        <f>IF(OR(tblEnrollment[[#This Row],[Clearinghouse Portal Updated]]="No",tblEnrollment[[#This Row],[Blocker Reason]] ="Clearinghouse portal not updated"),"Yes","No")</f>
        <v>No</v>
      </c>
      <c r="AF3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3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Status]]="Completed",AB36="NPI Match"),"Ready","Not Ready"),"Not Applicable")</f>
        <v>Not Ready</v>
      </c>
      <c r="AH36" s="4" t="str">
        <f>IF(OR(tblEnrollment[[#This Row],[Enrollment Type]]="ERA",tblEnrollment[[#This Row],[Enrollment Type]]="Claims and ERA"),IF(AND(tblEnrollment[[#This Row],[Credentialing Status]]="Completed",tblEnrollment[[#This Row],[ERA Enrollment Status]]="Approved",tblEnrollment[[#This Row],[Clearinghouse Configuration Status]]="Completed",AB36="NPI Match"),"Ready","Not Ready"),"Not Applicable")</f>
        <v>Not Ready</v>
      </c>
      <c r="AI36" s="4" t="str">
        <f>IF(tblEnrollment[[#This Row],[Blocker Reason]] ="No Blocker","No","Yes")</f>
        <v>Yes</v>
      </c>
    </row>
    <row r="37" spans="1:35" ht="29">
      <c r="A37" s="35" t="s">
        <v>486</v>
      </c>
      <c r="B37" s="35" t="s">
        <v>66</v>
      </c>
      <c r="C37" s="35" t="s">
        <v>487</v>
      </c>
      <c r="D37" s="35" t="s">
        <v>488</v>
      </c>
      <c r="E37" s="35" t="s">
        <v>84</v>
      </c>
      <c r="F37" s="35" t="s">
        <v>84</v>
      </c>
      <c r="G37" s="35" t="s">
        <v>84</v>
      </c>
      <c r="H37" s="35" t="s">
        <v>124</v>
      </c>
      <c r="I37" s="35" t="s">
        <v>51</v>
      </c>
      <c r="J37" s="35" t="s">
        <v>52</v>
      </c>
      <c r="K37" s="35" t="s">
        <v>53</v>
      </c>
      <c r="L37" s="35" t="s">
        <v>54</v>
      </c>
      <c r="M37" s="35" t="s">
        <v>55</v>
      </c>
      <c r="N37" s="35" t="s">
        <v>46</v>
      </c>
      <c r="O37" s="35" t="s">
        <v>47</v>
      </c>
      <c r="P37" s="35" t="s">
        <v>139</v>
      </c>
      <c r="Q37" s="35" t="s">
        <v>48</v>
      </c>
      <c r="R37" s="35" t="s">
        <v>46</v>
      </c>
      <c r="S37" s="36">
        <v>46063</v>
      </c>
      <c r="T37" s="36">
        <v>46075</v>
      </c>
      <c r="U37" s="35" t="s">
        <v>49</v>
      </c>
      <c r="V37" s="35" t="s">
        <v>348</v>
      </c>
      <c r="W37" s="35" t="s">
        <v>349</v>
      </c>
      <c r="X37" s="36">
        <v>46184</v>
      </c>
      <c r="Y37" s="35" t="s">
        <v>350</v>
      </c>
      <c r="Z37" s="4">
        <f>IF(tblEnrollment[[#This Row],[Approved Date]]="",DATE(2026,6,3)-tblEnrollment[[#This Row],[Submitted Date]],tblEnrollment[[#This Row],[Approved Date]]-tblEnrollment[[#This Row],[Submitted Date]])</f>
        <v>12</v>
      </c>
      <c r="AA37" s="4" t="str">
        <f>IF(tblEnrollment[[#This Row],[Current Status]] ="Ready","Completed",IF(Z37&gt;21,"SLA Breached","Within SLA"))</f>
        <v>Completed</v>
      </c>
      <c r="AB37" s="4" t="str">
        <f>IF(tblEnrollment[[#This Row],[Credentialed NPI]] =tblEnrollment[[#This Row],[Enrolled NPI]],"NPI Match","NPI Mismatch")</f>
        <v>NPI Match</v>
      </c>
      <c r="AC37" s="4" t="str">
        <f>IF(OR(tblEnrollment[[#This Row],[Blocker Reason]] ="Individual NPI used instead of Group NPI",tblEnrollment[[#This Row],[Blocker Reason]] ="Credentialed NPI mismatch",tblEnrollment[[#This Row],[Blocker Reason]] ="Incorrect PTAN/Provider number"),"Yes","No")</f>
        <v>No</v>
      </c>
      <c r="AD37" s="4" t="str">
        <f>IF(OR(tblEnrollment[[#This Row],[Blocker Reason]] ="Wrong Payer ID",tblEnrollment[[#This Row],[Blocker Reason]] ="Old Payer ID used"),"Yes","No")</f>
        <v>No</v>
      </c>
      <c r="AE37" s="4" t="str">
        <f>IF(OR(tblEnrollment[[#This Row],[Clearinghouse Portal Updated]]="No",tblEnrollment[[#This Row],[Blocker Reason]] ="Clearinghouse portal not updated"),"Yes","No")</f>
        <v>No</v>
      </c>
      <c r="AF3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3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Status]]="Completed",AB37="NPI Match"),"Ready","Not Ready"),"Not Applicable")</f>
        <v>Ready</v>
      </c>
      <c r="AH37" s="4" t="str">
        <f>IF(OR(tblEnrollment[[#This Row],[Enrollment Type]]="ERA",tblEnrollment[[#This Row],[Enrollment Type]]="Claims and ERA"),IF(AND(tblEnrollment[[#This Row],[Credentialing Status]]="Completed",tblEnrollment[[#This Row],[ERA Enrollment Status]]="Approved",tblEnrollment[[#This Row],[Clearinghouse Configuration Status]]="Completed",AB37="NPI Match"),"Ready","Not Ready"),"Not Applicable")</f>
        <v>Not Applicable</v>
      </c>
      <c r="AI37" s="4" t="str">
        <f>IF(tblEnrollment[[#This Row],[Blocker Reason]] ="No Blocker","No","Yes")</f>
        <v>No</v>
      </c>
    </row>
    <row r="38" spans="1:35" ht="29">
      <c r="A38" s="35" t="s">
        <v>489</v>
      </c>
      <c r="B38" s="35" t="s">
        <v>471</v>
      </c>
      <c r="C38" s="35" t="s">
        <v>490</v>
      </c>
      <c r="D38" s="35" t="s">
        <v>491</v>
      </c>
      <c r="E38" s="35" t="s">
        <v>92</v>
      </c>
      <c r="F38" s="35" t="s">
        <v>92</v>
      </c>
      <c r="G38" s="35" t="s">
        <v>92</v>
      </c>
      <c r="H38" s="35" t="s">
        <v>492</v>
      </c>
      <c r="I38" s="35" t="s">
        <v>132</v>
      </c>
      <c r="J38" s="35" t="s">
        <v>401</v>
      </c>
      <c r="K38" s="35" t="s">
        <v>53</v>
      </c>
      <c r="L38" s="35" t="s">
        <v>54</v>
      </c>
      <c r="M38" s="35" t="s">
        <v>45</v>
      </c>
      <c r="N38" s="35" t="s">
        <v>46</v>
      </c>
      <c r="O38" s="35" t="s">
        <v>56</v>
      </c>
      <c r="P38" s="35" t="s">
        <v>56</v>
      </c>
      <c r="Q38" s="35" t="s">
        <v>48</v>
      </c>
      <c r="R38" s="35" t="s">
        <v>137</v>
      </c>
      <c r="S38" s="36">
        <v>46043</v>
      </c>
      <c r="T38" s="36"/>
      <c r="U38" s="35" t="s">
        <v>56</v>
      </c>
      <c r="V38" s="35" t="s">
        <v>148</v>
      </c>
      <c r="W38" s="35" t="s">
        <v>441</v>
      </c>
      <c r="X38" s="36">
        <v>46178</v>
      </c>
      <c r="Y38" s="35" t="s">
        <v>359</v>
      </c>
      <c r="Z38" s="4">
        <f>IF(tblEnrollment[[#This Row],[Approved Date]]="",DATE(2026,6,3)-tblEnrollment[[#This Row],[Submitted Date]],tblEnrollment[[#This Row],[Approved Date]]-tblEnrollment[[#This Row],[Submitted Date]])</f>
        <v>133</v>
      </c>
      <c r="AA38" s="4" t="str">
        <f>IF(tblEnrollment[[#This Row],[Current Status]] ="Ready","Completed",IF(Z38&gt;21,"SLA Breached","Within SLA"))</f>
        <v>SLA Breached</v>
      </c>
      <c r="AB38" s="4" t="str">
        <f>IF(tblEnrollment[[#This Row],[Credentialed NPI]] =tblEnrollment[[#This Row],[Enrolled NPI]],"NPI Match","NPI Mismatch")</f>
        <v>NPI Match</v>
      </c>
      <c r="AC38" s="4" t="str">
        <f>IF(OR(tblEnrollment[[#This Row],[Blocker Reason]] ="Individual NPI used instead of Group NPI",tblEnrollment[[#This Row],[Blocker Reason]] ="Credentialed NPI mismatch",tblEnrollment[[#This Row],[Blocker Reason]] ="Incorrect PTAN/Provider number"),"Yes","No")</f>
        <v>No</v>
      </c>
      <c r="AD38" s="4" t="str">
        <f>IF(OR(tblEnrollment[[#This Row],[Blocker Reason]] ="Wrong Payer ID",tblEnrollment[[#This Row],[Blocker Reason]] ="Old Payer ID used"),"Yes","No")</f>
        <v>No</v>
      </c>
      <c r="AE38" s="4" t="str">
        <f>IF(OR(tblEnrollment[[#This Row],[Clearinghouse Portal Updated]]="No",tblEnrollment[[#This Row],[Blocker Reason]] ="Clearinghouse portal not updated"),"Yes","No")</f>
        <v>No</v>
      </c>
      <c r="AF3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3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Status]]="Completed",AB38="NPI Match"),"Ready","Not Ready"),"Not Applicable")</f>
        <v>Not Ready</v>
      </c>
      <c r="AH38" s="4" t="str">
        <f>IF(OR(tblEnrollment[[#This Row],[Enrollment Type]]="ERA",tblEnrollment[[#This Row],[Enrollment Type]]="Claims and ERA"),IF(AND(tblEnrollment[[#This Row],[Credentialing Status]]="Completed",tblEnrollment[[#This Row],[ERA Enrollment Status]]="Approved",tblEnrollment[[#This Row],[Clearinghouse Configuration Status]]="Completed",AB38="NPI Match"),"Ready","Not Ready"),"Not Applicable")</f>
        <v>Not Ready</v>
      </c>
      <c r="AI38" s="4" t="str">
        <f>IF(tblEnrollment[[#This Row],[Blocker Reason]] ="No Blocker","No","Yes")</f>
        <v>Yes</v>
      </c>
    </row>
    <row r="39" spans="1:35" ht="29">
      <c r="A39" s="35" t="s">
        <v>493</v>
      </c>
      <c r="B39" s="35" t="s">
        <v>340</v>
      </c>
      <c r="C39" s="35" t="s">
        <v>494</v>
      </c>
      <c r="D39" s="35" t="s">
        <v>495</v>
      </c>
      <c r="E39" s="35" t="s">
        <v>92</v>
      </c>
      <c r="F39" s="35" t="s">
        <v>92</v>
      </c>
      <c r="G39" s="35" t="s">
        <v>92</v>
      </c>
      <c r="H39" s="35" t="s">
        <v>496</v>
      </c>
      <c r="I39" s="35" t="s">
        <v>132</v>
      </c>
      <c r="J39" s="35" t="s">
        <v>401</v>
      </c>
      <c r="K39" s="35" t="s">
        <v>53</v>
      </c>
      <c r="L39" s="35" t="s">
        <v>54</v>
      </c>
      <c r="M39" s="35" t="s">
        <v>45</v>
      </c>
      <c r="N39" s="35" t="s">
        <v>46</v>
      </c>
      <c r="O39" s="35" t="s">
        <v>47</v>
      </c>
      <c r="P39" s="35" t="s">
        <v>56</v>
      </c>
      <c r="Q39" s="35" t="s">
        <v>58</v>
      </c>
      <c r="R39" s="35" t="s">
        <v>56</v>
      </c>
      <c r="S39" s="36">
        <v>46046</v>
      </c>
      <c r="T39" s="36"/>
      <c r="U39" s="35" t="s">
        <v>56</v>
      </c>
      <c r="V39" s="35" t="s">
        <v>143</v>
      </c>
      <c r="W39" s="35" t="s">
        <v>365</v>
      </c>
      <c r="X39" s="36">
        <v>46183</v>
      </c>
      <c r="Y39" s="35" t="s">
        <v>343</v>
      </c>
      <c r="Z39" s="4">
        <f>IF(tblEnrollment[[#This Row],[Approved Date]]="",DATE(2026,6,3)-tblEnrollment[[#This Row],[Submitted Date]],tblEnrollment[[#This Row],[Approved Date]]-tblEnrollment[[#This Row],[Submitted Date]])</f>
        <v>130</v>
      </c>
      <c r="AA39" s="4" t="str">
        <f>IF(tblEnrollment[[#This Row],[Current Status]] ="Ready","Completed",IF(Z39&gt;21,"SLA Breached","Within SLA"))</f>
        <v>SLA Breached</v>
      </c>
      <c r="AB39" s="4" t="str">
        <f>IF(tblEnrollment[[#This Row],[Credentialed NPI]] =tblEnrollment[[#This Row],[Enrolled NPI]],"NPI Match","NPI Mismatch")</f>
        <v>NPI Match</v>
      </c>
      <c r="AC39" s="4" t="str">
        <f>IF(OR(tblEnrollment[[#This Row],[Blocker Reason]] ="Individual NPI used instead of Group NPI",tblEnrollment[[#This Row],[Blocker Reason]] ="Credentialed NPI mismatch",tblEnrollment[[#This Row],[Blocker Reason]] ="Incorrect PTAN/Provider number"),"Yes","No")</f>
        <v>No</v>
      </c>
      <c r="AD39" s="4" t="str">
        <f>IF(OR(tblEnrollment[[#This Row],[Blocker Reason]] ="Wrong Payer ID",tblEnrollment[[#This Row],[Blocker Reason]] ="Old Payer ID used"),"Yes","No")</f>
        <v>No</v>
      </c>
      <c r="AE39" s="4" t="str">
        <f>IF(OR(tblEnrollment[[#This Row],[Clearinghouse Portal Updated]]="No",tblEnrollment[[#This Row],[Blocker Reason]] ="Clearinghouse portal not updated"),"Yes","No")</f>
        <v>Yes</v>
      </c>
      <c r="AF3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3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Status]]="Completed",AB39="NPI Match"),"Ready","Not Ready"),"Not Applicable")</f>
        <v>Not Ready</v>
      </c>
      <c r="AH39" s="4" t="str">
        <f>IF(OR(tblEnrollment[[#This Row],[Enrollment Type]]="ERA",tblEnrollment[[#This Row],[Enrollment Type]]="Claims and ERA"),IF(AND(tblEnrollment[[#This Row],[Credentialing Status]]="Completed",tblEnrollment[[#This Row],[ERA Enrollment Status]]="Approved",tblEnrollment[[#This Row],[Clearinghouse Configuration Status]]="Completed",AB39="NPI Match"),"Ready","Not Ready"),"Not Applicable")</f>
        <v>Not Ready</v>
      </c>
      <c r="AI39" s="4" t="str">
        <f>IF(tblEnrollment[[#This Row],[Blocker Reason]] ="No Blocker","No","Yes")</f>
        <v>Yes</v>
      </c>
    </row>
    <row r="40" spans="1:35" ht="29">
      <c r="A40" s="35" t="s">
        <v>497</v>
      </c>
      <c r="B40" s="35" t="s">
        <v>403</v>
      </c>
      <c r="C40" s="35" t="s">
        <v>498</v>
      </c>
      <c r="D40" s="35" t="s">
        <v>499</v>
      </c>
      <c r="E40" s="35" t="s">
        <v>101</v>
      </c>
      <c r="F40" s="35" t="s">
        <v>101</v>
      </c>
      <c r="G40" s="35" t="s">
        <v>101</v>
      </c>
      <c r="H40" s="35" t="s">
        <v>500</v>
      </c>
      <c r="I40" s="35" t="s">
        <v>132</v>
      </c>
      <c r="J40" s="35" t="s">
        <v>401</v>
      </c>
      <c r="K40" s="35" t="s">
        <v>53</v>
      </c>
      <c r="L40" s="35" t="s">
        <v>54</v>
      </c>
      <c r="M40" s="35" t="s">
        <v>45</v>
      </c>
      <c r="N40" s="35" t="s">
        <v>46</v>
      </c>
      <c r="O40" s="35" t="s">
        <v>47</v>
      </c>
      <c r="P40" s="35" t="s">
        <v>47</v>
      </c>
      <c r="Q40" s="35" t="s">
        <v>48</v>
      </c>
      <c r="R40" s="35" t="s">
        <v>46</v>
      </c>
      <c r="S40" s="36">
        <v>46043</v>
      </c>
      <c r="T40" s="36">
        <v>46060</v>
      </c>
      <c r="U40" s="35" t="s">
        <v>49</v>
      </c>
      <c r="V40" s="35" t="s">
        <v>348</v>
      </c>
      <c r="W40" s="35" t="s">
        <v>349</v>
      </c>
      <c r="X40" s="36">
        <v>46179</v>
      </c>
      <c r="Y40" s="35" t="s">
        <v>350</v>
      </c>
      <c r="Z40" s="4">
        <f>IF(tblEnrollment[[#This Row],[Approved Date]]="",DATE(2026,6,3)-tblEnrollment[[#This Row],[Submitted Date]],tblEnrollment[[#This Row],[Approved Date]]-tblEnrollment[[#This Row],[Submitted Date]])</f>
        <v>17</v>
      </c>
      <c r="AA40" s="4" t="str">
        <f>IF(tblEnrollment[[#This Row],[Current Status]] ="Ready","Completed",IF(Z40&gt;21,"SLA Breached","Within SLA"))</f>
        <v>Completed</v>
      </c>
      <c r="AB40" s="4" t="str">
        <f>IF(tblEnrollment[[#This Row],[Credentialed NPI]] =tblEnrollment[[#This Row],[Enrolled NPI]],"NPI Match","NPI Mismatch")</f>
        <v>NPI Match</v>
      </c>
      <c r="AC40" s="4" t="str">
        <f>IF(OR(tblEnrollment[[#This Row],[Blocker Reason]] ="Individual NPI used instead of Group NPI",tblEnrollment[[#This Row],[Blocker Reason]] ="Credentialed NPI mismatch",tblEnrollment[[#This Row],[Blocker Reason]] ="Incorrect PTAN/Provider number"),"Yes","No")</f>
        <v>No</v>
      </c>
      <c r="AD40" s="4" t="str">
        <f>IF(OR(tblEnrollment[[#This Row],[Blocker Reason]] ="Wrong Payer ID",tblEnrollment[[#This Row],[Blocker Reason]] ="Old Payer ID used"),"Yes","No")</f>
        <v>No</v>
      </c>
      <c r="AE40" s="4" t="str">
        <f>IF(OR(tblEnrollment[[#This Row],[Clearinghouse Portal Updated]]="No",tblEnrollment[[#This Row],[Blocker Reason]] ="Clearinghouse portal not updated"),"Yes","No")</f>
        <v>No</v>
      </c>
      <c r="AF4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4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Status]]="Completed",AB40="NPI Match"),"Ready","Not Ready"),"Not Applicable")</f>
        <v>Ready</v>
      </c>
      <c r="AH40" s="4" t="str">
        <f>IF(OR(tblEnrollment[[#This Row],[Enrollment Type]]="ERA",tblEnrollment[[#This Row],[Enrollment Type]]="Claims and ERA"),IF(AND(tblEnrollment[[#This Row],[Credentialing Status]]="Completed",tblEnrollment[[#This Row],[ERA Enrollment Status]]="Approved",tblEnrollment[[#This Row],[Clearinghouse Configuration Status]]="Completed",AB40="NPI Match"),"Ready","Not Ready"),"Not Applicable")</f>
        <v>Ready</v>
      </c>
      <c r="AI40" s="4" t="str">
        <f>IF(tblEnrollment[[#This Row],[Blocker Reason]] ="No Blocker","No","Yes")</f>
        <v>No</v>
      </c>
    </row>
    <row r="41" spans="1:35" ht="29">
      <c r="A41" s="35" t="s">
        <v>501</v>
      </c>
      <c r="B41" s="35" t="s">
        <v>65</v>
      </c>
      <c r="C41" s="35" t="s">
        <v>404</v>
      </c>
      <c r="D41" s="35" t="s">
        <v>502</v>
      </c>
      <c r="E41" s="35" t="s">
        <v>99</v>
      </c>
      <c r="F41" s="35" t="s">
        <v>99</v>
      </c>
      <c r="G41" s="35" t="s">
        <v>99</v>
      </c>
      <c r="H41" s="35" t="s">
        <v>119</v>
      </c>
      <c r="I41" s="35" t="s">
        <v>51</v>
      </c>
      <c r="J41" s="35" t="s">
        <v>52</v>
      </c>
      <c r="K41" s="35" t="s">
        <v>53</v>
      </c>
      <c r="L41" s="35" t="s">
        <v>54</v>
      </c>
      <c r="M41" s="35" t="s">
        <v>45</v>
      </c>
      <c r="N41" s="35" t="s">
        <v>46</v>
      </c>
      <c r="O41" s="35" t="s">
        <v>47</v>
      </c>
      <c r="P41" s="35" t="s">
        <v>56</v>
      </c>
      <c r="Q41" s="35" t="s">
        <v>58</v>
      </c>
      <c r="R41" s="35" t="s">
        <v>56</v>
      </c>
      <c r="S41" s="36">
        <v>46174</v>
      </c>
      <c r="T41" s="36"/>
      <c r="U41" s="35" t="s">
        <v>56</v>
      </c>
      <c r="V41" s="35" t="s">
        <v>143</v>
      </c>
      <c r="W41" s="35" t="s">
        <v>330</v>
      </c>
      <c r="X41" s="36">
        <v>46181</v>
      </c>
      <c r="Y41" s="35" t="s">
        <v>343</v>
      </c>
      <c r="Z41" s="4">
        <f>IF(tblEnrollment[[#This Row],[Approved Date]]="",DATE(2026,6,3)-tblEnrollment[[#This Row],[Submitted Date]],tblEnrollment[[#This Row],[Approved Date]]-tblEnrollment[[#This Row],[Submitted Date]])</f>
        <v>2</v>
      </c>
      <c r="AA41" s="4" t="str">
        <f>IF(tblEnrollment[[#This Row],[Current Status]] ="Ready","Completed",IF(Z41&gt;21,"SLA Breached","Within SLA"))</f>
        <v>Within SLA</v>
      </c>
      <c r="AB41" s="4" t="str">
        <f>IF(tblEnrollment[[#This Row],[Credentialed NPI]] =tblEnrollment[[#This Row],[Enrolled NPI]],"NPI Match","NPI Mismatch")</f>
        <v>NPI Match</v>
      </c>
      <c r="AC41" s="4" t="str">
        <f>IF(OR(tblEnrollment[[#This Row],[Blocker Reason]] ="Individual NPI used instead of Group NPI",tblEnrollment[[#This Row],[Blocker Reason]] ="Credentialed NPI mismatch",tblEnrollment[[#This Row],[Blocker Reason]] ="Incorrect PTAN/Provider number"),"Yes","No")</f>
        <v>No</v>
      </c>
      <c r="AD41" s="4" t="str">
        <f>IF(OR(tblEnrollment[[#This Row],[Blocker Reason]] ="Wrong Payer ID",tblEnrollment[[#This Row],[Blocker Reason]] ="Old Payer ID used"),"Yes","No")</f>
        <v>No</v>
      </c>
      <c r="AE41" s="4" t="str">
        <f>IF(OR(tblEnrollment[[#This Row],[Clearinghouse Portal Updated]]="No",tblEnrollment[[#This Row],[Blocker Reason]] ="Clearinghouse portal not updated"),"Yes","No")</f>
        <v>Yes</v>
      </c>
      <c r="AF4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4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Status]]="Completed",AB41="NPI Match"),"Ready","Not Ready"),"Not Applicable")</f>
        <v>Not Ready</v>
      </c>
      <c r="AH41" s="4" t="str">
        <f>IF(OR(tblEnrollment[[#This Row],[Enrollment Type]]="ERA",tblEnrollment[[#This Row],[Enrollment Type]]="Claims and ERA"),IF(AND(tblEnrollment[[#This Row],[Credentialing Status]]="Completed",tblEnrollment[[#This Row],[ERA Enrollment Status]]="Approved",tblEnrollment[[#This Row],[Clearinghouse Configuration Status]]="Completed",AB41="NPI Match"),"Ready","Not Ready"),"Not Applicable")</f>
        <v>Not Ready</v>
      </c>
      <c r="AI41" s="4" t="str">
        <f>IF(tblEnrollment[[#This Row],[Blocker Reason]] ="No Blocker","No","Yes")</f>
        <v>Yes</v>
      </c>
    </row>
    <row r="42" spans="1:35" ht="29">
      <c r="A42" s="35" t="s">
        <v>503</v>
      </c>
      <c r="B42" s="35" t="s">
        <v>375</v>
      </c>
      <c r="C42" s="35" t="s">
        <v>504</v>
      </c>
      <c r="D42" s="35" t="s">
        <v>505</v>
      </c>
      <c r="E42" s="35" t="s">
        <v>506</v>
      </c>
      <c r="F42" s="35" t="s">
        <v>506</v>
      </c>
      <c r="G42" s="35" t="s">
        <v>507</v>
      </c>
      <c r="H42" s="35" t="s">
        <v>119</v>
      </c>
      <c r="I42" s="35" t="s">
        <v>51</v>
      </c>
      <c r="J42" s="35" t="s">
        <v>52</v>
      </c>
      <c r="K42" s="35" t="s">
        <v>53</v>
      </c>
      <c r="L42" s="35" t="s">
        <v>54</v>
      </c>
      <c r="M42" s="35" t="s">
        <v>55</v>
      </c>
      <c r="N42" s="35" t="s">
        <v>46</v>
      </c>
      <c r="O42" s="35" t="s">
        <v>138</v>
      </c>
      <c r="P42" s="35" t="s">
        <v>139</v>
      </c>
      <c r="Q42" s="35" t="s">
        <v>48</v>
      </c>
      <c r="R42" s="35" t="s">
        <v>140</v>
      </c>
      <c r="S42" s="36">
        <v>46117</v>
      </c>
      <c r="T42" s="36"/>
      <c r="U42" s="35" t="s">
        <v>141</v>
      </c>
      <c r="V42" s="35" t="s">
        <v>144</v>
      </c>
      <c r="W42" s="35" t="s">
        <v>338</v>
      </c>
      <c r="X42" s="36">
        <v>46182</v>
      </c>
      <c r="Y42" s="35" t="s">
        <v>389</v>
      </c>
      <c r="Z42" s="4">
        <f>IF(tblEnrollment[[#This Row],[Approved Date]]="",DATE(2026,6,3)-tblEnrollment[[#This Row],[Submitted Date]],tblEnrollment[[#This Row],[Approved Date]]-tblEnrollment[[#This Row],[Submitted Date]])</f>
        <v>59</v>
      </c>
      <c r="AA42" s="4" t="str">
        <f>IF(tblEnrollment[[#This Row],[Current Status]] ="Ready","Completed",IF(Z42&gt;21,"SLA Breached","Within SLA"))</f>
        <v>SLA Breached</v>
      </c>
      <c r="AB42" s="4" t="str">
        <f>IF(tblEnrollment[[#This Row],[Credentialed NPI]] =tblEnrollment[[#This Row],[Enrolled NPI]],"NPI Match","NPI Mismatch")</f>
        <v>NPI Mismatch</v>
      </c>
      <c r="AC42" s="4" t="str">
        <f>IF(OR(tblEnrollment[[#This Row],[Blocker Reason]] ="Individual NPI used instead of Group NPI",tblEnrollment[[#This Row],[Blocker Reason]] ="Credentialed NPI mismatch",tblEnrollment[[#This Row],[Blocker Reason]] ="Incorrect PTAN/Provider number"),"Yes","No")</f>
        <v>Yes</v>
      </c>
      <c r="AD42" s="4" t="str">
        <f>IF(OR(tblEnrollment[[#This Row],[Blocker Reason]] ="Wrong Payer ID",tblEnrollment[[#This Row],[Blocker Reason]] ="Old Payer ID used"),"Yes","No")</f>
        <v>No</v>
      </c>
      <c r="AE42" s="4" t="str">
        <f>IF(OR(tblEnrollment[[#This Row],[Clearinghouse Portal Updated]]="No",tblEnrollment[[#This Row],[Blocker Reason]] ="Clearinghouse portal not updated"),"Yes","No")</f>
        <v>No</v>
      </c>
      <c r="AF4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4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Status]]="Completed",AB42="NPI Match"),"Ready","Not Ready"),"Not Applicable")</f>
        <v>Not Ready</v>
      </c>
      <c r="AH42" s="4" t="str">
        <f>IF(OR(tblEnrollment[[#This Row],[Enrollment Type]]="ERA",tblEnrollment[[#This Row],[Enrollment Type]]="Claims and ERA"),IF(AND(tblEnrollment[[#This Row],[Credentialing Status]]="Completed",tblEnrollment[[#This Row],[ERA Enrollment Status]]="Approved",tblEnrollment[[#This Row],[Clearinghouse Configuration Status]]="Completed",AB42="NPI Match"),"Ready","Not Ready"),"Not Applicable")</f>
        <v>Not Applicable</v>
      </c>
      <c r="AI42" s="4" t="str">
        <f>IF(tblEnrollment[[#This Row],[Blocker Reason]] ="No Blocker","No","Yes")</f>
        <v>Yes</v>
      </c>
    </row>
    <row r="43" spans="1:35" ht="29">
      <c r="A43" s="35" t="s">
        <v>508</v>
      </c>
      <c r="B43" s="35" t="s">
        <v>69</v>
      </c>
      <c r="C43" s="35" t="s">
        <v>509</v>
      </c>
      <c r="D43" s="35" t="s">
        <v>510</v>
      </c>
      <c r="E43" s="35" t="s">
        <v>98</v>
      </c>
      <c r="F43" s="35" t="s">
        <v>98</v>
      </c>
      <c r="G43" s="35" t="s">
        <v>98</v>
      </c>
      <c r="H43" s="35" t="s">
        <v>356</v>
      </c>
      <c r="I43" s="35" t="s">
        <v>43</v>
      </c>
      <c r="J43" s="35" t="s">
        <v>357</v>
      </c>
      <c r="K43" s="35" t="s">
        <v>44</v>
      </c>
      <c r="L43" s="35" t="s">
        <v>511</v>
      </c>
      <c r="M43" s="35" t="s">
        <v>45</v>
      </c>
      <c r="N43" s="35" t="s">
        <v>46</v>
      </c>
      <c r="O43" s="35" t="s">
        <v>47</v>
      </c>
      <c r="P43" s="35" t="s">
        <v>47</v>
      </c>
      <c r="Q43" s="35" t="s">
        <v>48</v>
      </c>
      <c r="R43" s="35" t="s">
        <v>46</v>
      </c>
      <c r="S43" s="36">
        <v>46174</v>
      </c>
      <c r="T43" s="36">
        <v>46173</v>
      </c>
      <c r="U43" s="35" t="s">
        <v>49</v>
      </c>
      <c r="V43" s="35" t="s">
        <v>348</v>
      </c>
      <c r="W43" s="35" t="s">
        <v>365</v>
      </c>
      <c r="X43" s="36">
        <v>46187</v>
      </c>
      <c r="Y43" s="35" t="s">
        <v>350</v>
      </c>
      <c r="Z43" s="4">
        <f>IF(tblEnrollment[[#This Row],[Approved Date]]="",DATE(2026,6,3)-tblEnrollment[[#This Row],[Submitted Date]],tblEnrollment[[#This Row],[Approved Date]]-tblEnrollment[[#This Row],[Submitted Date]])</f>
        <v>-1</v>
      </c>
      <c r="AA43" s="4" t="str">
        <f>IF(tblEnrollment[[#This Row],[Current Status]] ="Ready","Completed",IF(Z43&gt;21,"SLA Breached","Within SLA"))</f>
        <v>Completed</v>
      </c>
      <c r="AB43" s="4" t="str">
        <f>IF(tblEnrollment[[#This Row],[Credentialed NPI]] =tblEnrollment[[#This Row],[Enrolled NPI]],"NPI Match","NPI Mismatch")</f>
        <v>NPI Match</v>
      </c>
      <c r="AC43" s="4" t="str">
        <f>IF(OR(tblEnrollment[[#This Row],[Blocker Reason]] ="Individual NPI used instead of Group NPI",tblEnrollment[[#This Row],[Blocker Reason]] ="Credentialed NPI mismatch",tblEnrollment[[#This Row],[Blocker Reason]] ="Incorrect PTAN/Provider number"),"Yes","No")</f>
        <v>No</v>
      </c>
      <c r="AD43" s="4" t="str">
        <f>IF(OR(tblEnrollment[[#This Row],[Blocker Reason]] ="Wrong Payer ID",tblEnrollment[[#This Row],[Blocker Reason]] ="Old Payer ID used"),"Yes","No")</f>
        <v>No</v>
      </c>
      <c r="AE43" s="4" t="str">
        <f>IF(OR(tblEnrollment[[#This Row],[Clearinghouse Portal Updated]]="No",tblEnrollment[[#This Row],[Blocker Reason]] ="Clearinghouse portal not updated"),"Yes","No")</f>
        <v>No</v>
      </c>
      <c r="AF4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4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Status]]="Completed",AB43="NPI Match"),"Ready","Not Ready"),"Not Applicable")</f>
        <v>Ready</v>
      </c>
      <c r="AH43" s="4" t="str">
        <f>IF(OR(tblEnrollment[[#This Row],[Enrollment Type]]="ERA",tblEnrollment[[#This Row],[Enrollment Type]]="Claims and ERA"),IF(AND(tblEnrollment[[#This Row],[Credentialing Status]]="Completed",tblEnrollment[[#This Row],[ERA Enrollment Status]]="Approved",tblEnrollment[[#This Row],[Clearinghouse Configuration Status]]="Completed",AB43="NPI Match"),"Ready","Not Ready"),"Not Applicable")</f>
        <v>Ready</v>
      </c>
      <c r="AI43" s="4" t="str">
        <f>IF(tblEnrollment[[#This Row],[Blocker Reason]] ="No Blocker","No","Yes")</f>
        <v>No</v>
      </c>
    </row>
    <row r="44" spans="1:35" ht="29">
      <c r="A44" s="35" t="s">
        <v>512</v>
      </c>
      <c r="B44" s="35" t="s">
        <v>513</v>
      </c>
      <c r="C44" s="35" t="s">
        <v>514</v>
      </c>
      <c r="D44" s="35" t="s">
        <v>515</v>
      </c>
      <c r="E44" s="35" t="s">
        <v>103</v>
      </c>
      <c r="F44" s="35" t="s">
        <v>103</v>
      </c>
      <c r="G44" s="35" t="s">
        <v>103</v>
      </c>
      <c r="H44" s="35" t="s">
        <v>397</v>
      </c>
      <c r="I44" s="35" t="s">
        <v>346</v>
      </c>
      <c r="J44" s="35" t="s">
        <v>424</v>
      </c>
      <c r="K44" s="35" t="s">
        <v>53</v>
      </c>
      <c r="L44" s="35" t="s">
        <v>54</v>
      </c>
      <c r="M44" s="35" t="s">
        <v>136</v>
      </c>
      <c r="N44" s="35" t="s">
        <v>46</v>
      </c>
      <c r="O44" s="35" t="s">
        <v>139</v>
      </c>
      <c r="P44" s="35" t="s">
        <v>138</v>
      </c>
      <c r="Q44" s="35" t="s">
        <v>48</v>
      </c>
      <c r="R44" s="35" t="s">
        <v>140</v>
      </c>
      <c r="S44" s="36">
        <v>46166</v>
      </c>
      <c r="T44" s="36"/>
      <c r="U44" s="35" t="s">
        <v>141</v>
      </c>
      <c r="V44" s="35" t="s">
        <v>435</v>
      </c>
      <c r="W44" s="35" t="s">
        <v>349</v>
      </c>
      <c r="X44" s="36">
        <v>46180</v>
      </c>
      <c r="Y44" s="35" t="s">
        <v>436</v>
      </c>
      <c r="Z44" s="4">
        <f>IF(tblEnrollment[[#This Row],[Approved Date]]="",DATE(2026,6,3)-tblEnrollment[[#This Row],[Submitted Date]],tblEnrollment[[#This Row],[Approved Date]]-tblEnrollment[[#This Row],[Submitted Date]])</f>
        <v>10</v>
      </c>
      <c r="AA44" s="4" t="str">
        <f>IF(tblEnrollment[[#This Row],[Current Status]] ="Ready","Completed",IF(Z44&gt;21,"SLA Breached","Within SLA"))</f>
        <v>Within SLA</v>
      </c>
      <c r="AB44" s="4" t="str">
        <f>IF(tblEnrollment[[#This Row],[Credentialed NPI]] =tblEnrollment[[#This Row],[Enrolled NPI]],"NPI Match","NPI Mismatch")</f>
        <v>NPI Match</v>
      </c>
      <c r="AC44" s="4" t="str">
        <f>IF(OR(tblEnrollment[[#This Row],[Blocker Reason]] ="Individual NPI used instead of Group NPI",tblEnrollment[[#This Row],[Blocker Reason]] ="Credentialed NPI mismatch",tblEnrollment[[#This Row],[Blocker Reason]] ="Incorrect PTAN/Provider number"),"Yes","No")</f>
        <v>No</v>
      </c>
      <c r="AD44" s="4" t="str">
        <f>IF(OR(tblEnrollment[[#This Row],[Blocker Reason]] ="Wrong Payer ID",tblEnrollment[[#This Row],[Blocker Reason]] ="Old Payer ID used"),"Yes","No")</f>
        <v>Yes</v>
      </c>
      <c r="AE44" s="4" t="str">
        <f>IF(OR(tblEnrollment[[#This Row],[Clearinghouse Portal Updated]]="No",tblEnrollment[[#This Row],[Blocker Reason]] ="Clearinghouse portal not updated"),"Yes","No")</f>
        <v>No</v>
      </c>
      <c r="AF4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4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Status]]="Completed",AB44="NPI Match"),"Ready","Not Ready"),"Not Applicable")</f>
        <v>Not Applicable</v>
      </c>
      <c r="AH44" s="4" t="str">
        <f>IF(OR(tblEnrollment[[#This Row],[Enrollment Type]]="ERA",tblEnrollment[[#This Row],[Enrollment Type]]="Claims and ERA"),IF(AND(tblEnrollment[[#This Row],[Credentialing Status]]="Completed",tblEnrollment[[#This Row],[ERA Enrollment Status]]="Approved",tblEnrollment[[#This Row],[Clearinghouse Configuration Status]]="Completed",AB44="NPI Match"),"Ready","Not Ready"),"Not Applicable")</f>
        <v>Not Ready</v>
      </c>
      <c r="AI44" s="4" t="str">
        <f>IF(tblEnrollment[[#This Row],[Blocker Reason]] ="No Blocker","No","Yes")</f>
        <v>Yes</v>
      </c>
    </row>
    <row r="45" spans="1:35" ht="29">
      <c r="A45" s="35" t="s">
        <v>516</v>
      </c>
      <c r="B45" s="35" t="s">
        <v>69</v>
      </c>
      <c r="C45" s="35" t="s">
        <v>517</v>
      </c>
      <c r="D45" s="35" t="s">
        <v>518</v>
      </c>
      <c r="E45" s="35" t="s">
        <v>90</v>
      </c>
      <c r="F45" s="35" t="s">
        <v>90</v>
      </c>
      <c r="G45" s="35" t="s">
        <v>90</v>
      </c>
      <c r="H45" s="35" t="s">
        <v>469</v>
      </c>
      <c r="I45" s="35" t="s">
        <v>129</v>
      </c>
      <c r="J45" s="35" t="s">
        <v>134</v>
      </c>
      <c r="K45" s="35" t="s">
        <v>44</v>
      </c>
      <c r="L45" s="35" t="s">
        <v>519</v>
      </c>
      <c r="M45" s="35" t="s">
        <v>136</v>
      </c>
      <c r="N45" s="35" t="s">
        <v>46</v>
      </c>
      <c r="O45" s="35" t="s">
        <v>139</v>
      </c>
      <c r="P45" s="35" t="s">
        <v>56</v>
      </c>
      <c r="Q45" s="35" t="s">
        <v>48</v>
      </c>
      <c r="R45" s="35" t="s">
        <v>137</v>
      </c>
      <c r="S45" s="36">
        <v>46081</v>
      </c>
      <c r="T45" s="36"/>
      <c r="U45" s="35" t="s">
        <v>56</v>
      </c>
      <c r="V45" s="35" t="s">
        <v>520</v>
      </c>
      <c r="W45" s="35" t="s">
        <v>338</v>
      </c>
      <c r="X45" s="36">
        <v>46185</v>
      </c>
      <c r="Y45" s="35" t="s">
        <v>521</v>
      </c>
      <c r="Z45" s="4">
        <f>IF(tblEnrollment[[#This Row],[Approved Date]]="",DATE(2026,6,3)-tblEnrollment[[#This Row],[Submitted Date]],tblEnrollment[[#This Row],[Approved Date]]-tblEnrollment[[#This Row],[Submitted Date]])</f>
        <v>95</v>
      </c>
      <c r="AA45" s="4" t="str">
        <f>IF(tblEnrollment[[#This Row],[Current Status]] ="Ready","Completed",IF(Z45&gt;21,"SLA Breached","Within SLA"))</f>
        <v>SLA Breached</v>
      </c>
      <c r="AB45" s="4" t="str">
        <f>IF(tblEnrollment[[#This Row],[Credentialed NPI]] =tblEnrollment[[#This Row],[Enrolled NPI]],"NPI Match","NPI Mismatch")</f>
        <v>NPI Match</v>
      </c>
      <c r="AC45" s="4" t="str">
        <f>IF(OR(tblEnrollment[[#This Row],[Blocker Reason]] ="Individual NPI used instead of Group NPI",tblEnrollment[[#This Row],[Blocker Reason]] ="Credentialed NPI mismatch",tblEnrollment[[#This Row],[Blocker Reason]] ="Incorrect PTAN/Provider number"),"Yes","No")</f>
        <v>No</v>
      </c>
      <c r="AD45" s="4" t="str">
        <f>IF(OR(tblEnrollment[[#This Row],[Blocker Reason]] ="Wrong Payer ID",tblEnrollment[[#This Row],[Blocker Reason]] ="Old Payer ID used"),"Yes","No")</f>
        <v>No</v>
      </c>
      <c r="AE45" s="4" t="str">
        <f>IF(OR(tblEnrollment[[#This Row],[Clearinghouse Portal Updated]]="No",tblEnrollment[[#This Row],[Blocker Reason]] ="Clearinghouse portal not updated"),"Yes","No")</f>
        <v>No</v>
      </c>
      <c r="AF4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Yes</v>
      </c>
      <c r="AG4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Status]]="Completed",AB45="NPI Match"),"Ready","Not Ready"),"Not Applicable")</f>
        <v>Not Applicable</v>
      </c>
      <c r="AH45" s="4" t="str">
        <f>IF(OR(tblEnrollment[[#This Row],[Enrollment Type]]="ERA",tblEnrollment[[#This Row],[Enrollment Type]]="Claims and ERA"),IF(AND(tblEnrollment[[#This Row],[Credentialing Status]]="Completed",tblEnrollment[[#This Row],[ERA Enrollment Status]]="Approved",tblEnrollment[[#This Row],[Clearinghouse Configuration Status]]="Completed",AB45="NPI Match"),"Ready","Not Ready"),"Not Applicable")</f>
        <v>Not Ready</v>
      </c>
      <c r="AI45" s="4" t="str">
        <f>IF(tblEnrollment[[#This Row],[Blocker Reason]] ="No Blocker","No","Yes")</f>
        <v>Yes</v>
      </c>
    </row>
    <row r="46" spans="1:35" ht="29">
      <c r="A46" s="35" t="s">
        <v>522</v>
      </c>
      <c r="B46" s="35" t="s">
        <v>69</v>
      </c>
      <c r="C46" s="35" t="s">
        <v>523</v>
      </c>
      <c r="D46" s="35" t="s">
        <v>524</v>
      </c>
      <c r="E46" s="35" t="s">
        <v>41</v>
      </c>
      <c r="F46" s="35" t="s">
        <v>41</v>
      </c>
      <c r="G46" s="35" t="s">
        <v>524</v>
      </c>
      <c r="H46" s="35" t="s">
        <v>525</v>
      </c>
      <c r="I46" s="35" t="s">
        <v>51</v>
      </c>
      <c r="J46" s="35" t="s">
        <v>52</v>
      </c>
      <c r="K46" s="35" t="s">
        <v>53</v>
      </c>
      <c r="L46" s="35" t="s">
        <v>54</v>
      </c>
      <c r="M46" s="35" t="s">
        <v>136</v>
      </c>
      <c r="N46" s="35" t="s">
        <v>46</v>
      </c>
      <c r="O46" s="35" t="s">
        <v>139</v>
      </c>
      <c r="P46" s="35" t="s">
        <v>138</v>
      </c>
      <c r="Q46" s="35" t="s">
        <v>48</v>
      </c>
      <c r="R46" s="35" t="s">
        <v>140</v>
      </c>
      <c r="S46" s="36">
        <v>46119</v>
      </c>
      <c r="T46" s="36"/>
      <c r="U46" s="35" t="s">
        <v>141</v>
      </c>
      <c r="V46" s="35" t="s">
        <v>412</v>
      </c>
      <c r="W46" s="35" t="s">
        <v>349</v>
      </c>
      <c r="X46" s="36">
        <v>46183</v>
      </c>
      <c r="Y46" s="35" t="s">
        <v>413</v>
      </c>
      <c r="Z46" s="4">
        <f>IF(tblEnrollment[[#This Row],[Approved Date]]="",DATE(2026,6,3)-tblEnrollment[[#This Row],[Submitted Date]],tblEnrollment[[#This Row],[Approved Date]]-tblEnrollment[[#This Row],[Submitted Date]])</f>
        <v>57</v>
      </c>
      <c r="AA46" s="4" t="str">
        <f>IF(tblEnrollment[[#This Row],[Current Status]] ="Ready","Completed",IF(Z46&gt;21,"SLA Breached","Within SLA"))</f>
        <v>SLA Breached</v>
      </c>
      <c r="AB46" s="4" t="str">
        <f>IF(tblEnrollment[[#This Row],[Credentialed NPI]] =tblEnrollment[[#This Row],[Enrolled NPI]],"NPI Match","NPI Mismatch")</f>
        <v>NPI Mismatch</v>
      </c>
      <c r="AC46" s="4" t="str">
        <f>IF(OR(tblEnrollment[[#This Row],[Blocker Reason]] ="Individual NPI used instead of Group NPI",tblEnrollment[[#This Row],[Blocker Reason]] ="Credentialed NPI mismatch",tblEnrollment[[#This Row],[Blocker Reason]] ="Incorrect PTAN/Provider number"),"Yes","No")</f>
        <v>Yes</v>
      </c>
      <c r="AD46" s="4" t="str">
        <f>IF(OR(tblEnrollment[[#This Row],[Blocker Reason]] ="Wrong Payer ID",tblEnrollment[[#This Row],[Blocker Reason]] ="Old Payer ID used"),"Yes","No")</f>
        <v>No</v>
      </c>
      <c r="AE46" s="4" t="str">
        <f>IF(OR(tblEnrollment[[#This Row],[Clearinghouse Portal Updated]]="No",tblEnrollment[[#This Row],[Blocker Reason]] ="Clearinghouse portal not updated"),"Yes","No")</f>
        <v>No</v>
      </c>
      <c r="AF4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4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Status]]="Completed",AB46="NPI Match"),"Ready","Not Ready"),"Not Applicable")</f>
        <v>Not Applicable</v>
      </c>
      <c r="AH46" s="4" t="str">
        <f>IF(OR(tblEnrollment[[#This Row],[Enrollment Type]]="ERA",tblEnrollment[[#This Row],[Enrollment Type]]="Claims and ERA"),IF(AND(tblEnrollment[[#This Row],[Credentialing Status]]="Completed",tblEnrollment[[#This Row],[ERA Enrollment Status]]="Approved",tblEnrollment[[#This Row],[Clearinghouse Configuration Status]]="Completed",AB46="NPI Match"),"Ready","Not Ready"),"Not Applicable")</f>
        <v>Not Ready</v>
      </c>
      <c r="AI46" s="4" t="str">
        <f>IF(tblEnrollment[[#This Row],[Blocker Reason]] ="No Blocker","No","Yes")</f>
        <v>Yes</v>
      </c>
    </row>
    <row r="47" spans="1:35" ht="29">
      <c r="A47" s="35" t="s">
        <v>526</v>
      </c>
      <c r="B47" s="35" t="s">
        <v>77</v>
      </c>
      <c r="C47" s="35" t="s">
        <v>527</v>
      </c>
      <c r="D47" s="35" t="s">
        <v>528</v>
      </c>
      <c r="E47" s="35" t="s">
        <v>529</v>
      </c>
      <c r="F47" s="35" t="s">
        <v>529</v>
      </c>
      <c r="G47" s="35" t="s">
        <v>529</v>
      </c>
      <c r="H47" s="35" t="s">
        <v>500</v>
      </c>
      <c r="I47" s="35" t="s">
        <v>132</v>
      </c>
      <c r="J47" s="35" t="s">
        <v>530</v>
      </c>
      <c r="K47" s="35" t="s">
        <v>53</v>
      </c>
      <c r="L47" s="35" t="s">
        <v>54</v>
      </c>
      <c r="M47" s="35" t="s">
        <v>45</v>
      </c>
      <c r="N47" s="35" t="s">
        <v>46</v>
      </c>
      <c r="O47" s="35" t="s">
        <v>138</v>
      </c>
      <c r="P47" s="35" t="s">
        <v>138</v>
      </c>
      <c r="Q47" s="35" t="s">
        <v>48</v>
      </c>
      <c r="R47" s="35" t="s">
        <v>140</v>
      </c>
      <c r="S47" s="36">
        <v>46058</v>
      </c>
      <c r="T47" s="36"/>
      <c r="U47" s="35" t="s">
        <v>141</v>
      </c>
      <c r="V47" s="35" t="s">
        <v>329</v>
      </c>
      <c r="W47" s="35" t="s">
        <v>338</v>
      </c>
      <c r="X47" s="36">
        <v>46180</v>
      </c>
      <c r="Y47" s="35" t="s">
        <v>331</v>
      </c>
      <c r="Z47" s="4">
        <f>IF(tblEnrollment[[#This Row],[Approved Date]]="",DATE(2026,6,3)-tblEnrollment[[#This Row],[Submitted Date]],tblEnrollment[[#This Row],[Approved Date]]-tblEnrollment[[#This Row],[Submitted Date]])</f>
        <v>118</v>
      </c>
      <c r="AA47" s="4" t="str">
        <f>IF(tblEnrollment[[#This Row],[Current Status]] ="Ready","Completed",IF(Z47&gt;21,"SLA Breached","Within SLA"))</f>
        <v>SLA Breached</v>
      </c>
      <c r="AB47" s="4" t="str">
        <f>IF(tblEnrollment[[#This Row],[Credentialed NPI]] =tblEnrollment[[#This Row],[Enrolled NPI]],"NPI Match","NPI Mismatch")</f>
        <v>NPI Match</v>
      </c>
      <c r="AC47" s="4" t="str">
        <f>IF(OR(tblEnrollment[[#This Row],[Blocker Reason]] ="Individual NPI used instead of Group NPI",tblEnrollment[[#This Row],[Blocker Reason]] ="Credentialed NPI mismatch",tblEnrollment[[#This Row],[Blocker Reason]] ="Incorrect PTAN/Provider number"),"Yes","No")</f>
        <v>No</v>
      </c>
      <c r="AD47" s="4" t="str">
        <f>IF(OR(tblEnrollment[[#This Row],[Blocker Reason]] ="Wrong Payer ID",tblEnrollment[[#This Row],[Blocker Reason]] ="Old Payer ID used"),"Yes","No")</f>
        <v>Yes</v>
      </c>
      <c r="AE47" s="4" t="str">
        <f>IF(OR(tblEnrollment[[#This Row],[Clearinghouse Portal Updated]]="No",tblEnrollment[[#This Row],[Blocker Reason]] ="Clearinghouse portal not updated"),"Yes","No")</f>
        <v>No</v>
      </c>
      <c r="AF4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4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Status]]="Completed",AB47="NPI Match"),"Ready","Not Ready"),"Not Applicable")</f>
        <v>Not Ready</v>
      </c>
      <c r="AH47" s="4" t="str">
        <f>IF(OR(tblEnrollment[[#This Row],[Enrollment Type]]="ERA",tblEnrollment[[#This Row],[Enrollment Type]]="Claims and ERA"),IF(AND(tblEnrollment[[#This Row],[Credentialing Status]]="Completed",tblEnrollment[[#This Row],[ERA Enrollment Status]]="Approved",tblEnrollment[[#This Row],[Clearinghouse Configuration Status]]="Completed",AB47="NPI Match"),"Ready","Not Ready"),"Not Applicable")</f>
        <v>Not Ready</v>
      </c>
      <c r="AI47" s="4" t="str">
        <f>IF(tblEnrollment[[#This Row],[Blocker Reason]] ="No Blocker","No","Yes")</f>
        <v>Yes</v>
      </c>
    </row>
    <row r="48" spans="1:35" ht="29">
      <c r="A48" s="35" t="s">
        <v>531</v>
      </c>
      <c r="B48" s="35" t="s">
        <v>60</v>
      </c>
      <c r="C48" s="35" t="s">
        <v>532</v>
      </c>
      <c r="D48" s="35" t="s">
        <v>533</v>
      </c>
      <c r="E48" s="35" t="s">
        <v>101</v>
      </c>
      <c r="F48" s="35" t="s">
        <v>101</v>
      </c>
      <c r="G48" s="35" t="s">
        <v>101</v>
      </c>
      <c r="H48" s="35" t="s">
        <v>114</v>
      </c>
      <c r="I48" s="35" t="s">
        <v>129</v>
      </c>
      <c r="J48" s="35" t="s">
        <v>134</v>
      </c>
      <c r="K48" s="35" t="s">
        <v>44</v>
      </c>
      <c r="L48" s="35" t="s">
        <v>534</v>
      </c>
      <c r="M48" s="35" t="s">
        <v>45</v>
      </c>
      <c r="N48" s="35" t="s">
        <v>46</v>
      </c>
      <c r="O48" s="35" t="s">
        <v>47</v>
      </c>
      <c r="P48" s="35" t="s">
        <v>47</v>
      </c>
      <c r="Q48" s="35" t="s">
        <v>48</v>
      </c>
      <c r="R48" s="35" t="s">
        <v>46</v>
      </c>
      <c r="S48" s="36">
        <v>46048</v>
      </c>
      <c r="T48" s="36">
        <v>46058</v>
      </c>
      <c r="U48" s="35" t="s">
        <v>49</v>
      </c>
      <c r="V48" s="35" t="s">
        <v>348</v>
      </c>
      <c r="W48" s="35" t="s">
        <v>338</v>
      </c>
      <c r="X48" s="36">
        <v>46183</v>
      </c>
      <c r="Y48" s="35" t="s">
        <v>350</v>
      </c>
      <c r="Z48" s="4">
        <f>IF(tblEnrollment[[#This Row],[Approved Date]]="",DATE(2026,6,3)-tblEnrollment[[#This Row],[Submitted Date]],tblEnrollment[[#This Row],[Approved Date]]-tblEnrollment[[#This Row],[Submitted Date]])</f>
        <v>10</v>
      </c>
      <c r="AA48" s="4" t="str">
        <f>IF(tblEnrollment[[#This Row],[Current Status]] ="Ready","Completed",IF(Z48&gt;21,"SLA Breached","Within SLA"))</f>
        <v>Completed</v>
      </c>
      <c r="AB48" s="4" t="str">
        <f>IF(tblEnrollment[[#This Row],[Credentialed NPI]] =tblEnrollment[[#This Row],[Enrolled NPI]],"NPI Match","NPI Mismatch")</f>
        <v>NPI Match</v>
      </c>
      <c r="AC48" s="4" t="str">
        <f>IF(OR(tblEnrollment[[#This Row],[Blocker Reason]] ="Individual NPI used instead of Group NPI",tblEnrollment[[#This Row],[Blocker Reason]] ="Credentialed NPI mismatch",tblEnrollment[[#This Row],[Blocker Reason]] ="Incorrect PTAN/Provider number"),"Yes","No")</f>
        <v>No</v>
      </c>
      <c r="AD48" s="4" t="str">
        <f>IF(OR(tblEnrollment[[#This Row],[Blocker Reason]] ="Wrong Payer ID",tblEnrollment[[#This Row],[Blocker Reason]] ="Old Payer ID used"),"Yes","No")</f>
        <v>No</v>
      </c>
      <c r="AE48" s="4" t="str">
        <f>IF(OR(tblEnrollment[[#This Row],[Clearinghouse Portal Updated]]="No",tblEnrollment[[#This Row],[Blocker Reason]] ="Clearinghouse portal not updated"),"Yes","No")</f>
        <v>No</v>
      </c>
      <c r="AF4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4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Status]]="Completed",AB48="NPI Match"),"Ready","Not Ready"),"Not Applicable")</f>
        <v>Ready</v>
      </c>
      <c r="AH48" s="4" t="str">
        <f>IF(OR(tblEnrollment[[#This Row],[Enrollment Type]]="ERA",tblEnrollment[[#This Row],[Enrollment Type]]="Claims and ERA"),IF(AND(tblEnrollment[[#This Row],[Credentialing Status]]="Completed",tblEnrollment[[#This Row],[ERA Enrollment Status]]="Approved",tblEnrollment[[#This Row],[Clearinghouse Configuration Status]]="Completed",AB48="NPI Match"),"Ready","Not Ready"),"Not Applicable")</f>
        <v>Ready</v>
      </c>
      <c r="AI48" s="4" t="str">
        <f>IF(tblEnrollment[[#This Row],[Blocker Reason]] ="No Blocker","No","Yes")</f>
        <v>No</v>
      </c>
    </row>
    <row r="49" spans="1:35" ht="29">
      <c r="A49" s="35" t="s">
        <v>535</v>
      </c>
      <c r="B49" s="35" t="s">
        <v>70</v>
      </c>
      <c r="C49" s="35" t="s">
        <v>536</v>
      </c>
      <c r="D49" s="35" t="s">
        <v>537</v>
      </c>
      <c r="E49" s="35" t="s">
        <v>353</v>
      </c>
      <c r="F49" s="35" t="s">
        <v>353</v>
      </c>
      <c r="G49" s="35" t="s">
        <v>353</v>
      </c>
      <c r="H49" s="35" t="s">
        <v>123</v>
      </c>
      <c r="I49" s="35" t="s">
        <v>346</v>
      </c>
      <c r="J49" s="35" t="s">
        <v>347</v>
      </c>
      <c r="K49" s="35" t="s">
        <v>53</v>
      </c>
      <c r="L49" s="35" t="s">
        <v>54</v>
      </c>
      <c r="M49" s="35" t="s">
        <v>55</v>
      </c>
      <c r="N49" s="35" t="s">
        <v>137</v>
      </c>
      <c r="O49" s="35" t="s">
        <v>57</v>
      </c>
      <c r="P49" s="35" t="s">
        <v>139</v>
      </c>
      <c r="Q49" s="35" t="s">
        <v>58</v>
      </c>
      <c r="R49" s="35" t="s">
        <v>57</v>
      </c>
      <c r="S49" s="36">
        <v>46163</v>
      </c>
      <c r="T49" s="36"/>
      <c r="U49" s="35" t="s">
        <v>56</v>
      </c>
      <c r="V49" s="35" t="s">
        <v>147</v>
      </c>
      <c r="W49" s="35" t="s">
        <v>365</v>
      </c>
      <c r="X49" s="36">
        <v>46182</v>
      </c>
      <c r="Y49" s="35" t="s">
        <v>406</v>
      </c>
      <c r="Z49" s="4">
        <f>IF(tblEnrollment[[#This Row],[Approved Date]]="",DATE(2026,6,3)-tblEnrollment[[#This Row],[Submitted Date]],tblEnrollment[[#This Row],[Approved Date]]-tblEnrollment[[#This Row],[Submitted Date]])</f>
        <v>13</v>
      </c>
      <c r="AA49" s="4" t="str">
        <f>IF(tblEnrollment[[#This Row],[Current Status]] ="Ready","Completed",IF(Z49&gt;21,"SLA Breached","Within SLA"))</f>
        <v>Within SLA</v>
      </c>
      <c r="AB49" s="4" t="str">
        <f>IF(tblEnrollment[[#This Row],[Credentialed NPI]] =tblEnrollment[[#This Row],[Enrolled NPI]],"NPI Match","NPI Mismatch")</f>
        <v>NPI Match</v>
      </c>
      <c r="AC49" s="4" t="str">
        <f>IF(OR(tblEnrollment[[#This Row],[Blocker Reason]] ="Individual NPI used instead of Group NPI",tblEnrollment[[#This Row],[Blocker Reason]] ="Credentialed NPI mismatch",tblEnrollment[[#This Row],[Blocker Reason]] ="Incorrect PTAN/Provider number"),"Yes","No")</f>
        <v>No</v>
      </c>
      <c r="AD49" s="4" t="str">
        <f>IF(OR(tblEnrollment[[#This Row],[Blocker Reason]] ="Wrong Payer ID",tblEnrollment[[#This Row],[Blocker Reason]] ="Old Payer ID used"),"Yes","No")</f>
        <v>No</v>
      </c>
      <c r="AE49" s="4" t="str">
        <f>IF(OR(tblEnrollment[[#This Row],[Clearinghouse Portal Updated]]="No",tblEnrollment[[#This Row],[Blocker Reason]] ="Clearinghouse portal not updated"),"Yes","No")</f>
        <v>Yes</v>
      </c>
      <c r="AF4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4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Status]]="Completed",AB49="NPI Match"),"Ready","Not Ready"),"Not Applicable")</f>
        <v>Not Ready</v>
      </c>
      <c r="AH49" s="4" t="str">
        <f>IF(OR(tblEnrollment[[#This Row],[Enrollment Type]]="ERA",tblEnrollment[[#This Row],[Enrollment Type]]="Claims and ERA"),IF(AND(tblEnrollment[[#This Row],[Credentialing Status]]="Completed",tblEnrollment[[#This Row],[ERA Enrollment Status]]="Approved",tblEnrollment[[#This Row],[Clearinghouse Configuration Status]]="Completed",AB49="NPI Match"),"Ready","Not Ready"),"Not Applicable")</f>
        <v>Not Applicable</v>
      </c>
      <c r="AI49" s="4" t="str">
        <f>IF(tblEnrollment[[#This Row],[Blocker Reason]] ="No Blocker","No","Yes")</f>
        <v>Yes</v>
      </c>
    </row>
    <row r="50" spans="1:35" ht="29">
      <c r="A50" s="35" t="s">
        <v>538</v>
      </c>
      <c r="B50" s="35" t="s">
        <v>76</v>
      </c>
      <c r="C50" s="35" t="s">
        <v>539</v>
      </c>
      <c r="D50" s="35" t="s">
        <v>540</v>
      </c>
      <c r="E50" s="35" t="s">
        <v>88</v>
      </c>
      <c r="F50" s="35" t="s">
        <v>88</v>
      </c>
      <c r="G50" s="35" t="s">
        <v>88</v>
      </c>
      <c r="H50" s="35" t="s">
        <v>120</v>
      </c>
      <c r="I50" s="35" t="s">
        <v>132</v>
      </c>
      <c r="J50" s="35" t="s">
        <v>401</v>
      </c>
      <c r="K50" s="35" t="s">
        <v>53</v>
      </c>
      <c r="L50" s="35" t="s">
        <v>54</v>
      </c>
      <c r="M50" s="35" t="s">
        <v>136</v>
      </c>
      <c r="N50" s="35" t="s">
        <v>46</v>
      </c>
      <c r="O50" s="35" t="s">
        <v>139</v>
      </c>
      <c r="P50" s="35" t="s">
        <v>47</v>
      </c>
      <c r="Q50" s="35" t="s">
        <v>48</v>
      </c>
      <c r="R50" s="35" t="s">
        <v>46</v>
      </c>
      <c r="S50" s="36">
        <v>46169</v>
      </c>
      <c r="T50" s="36">
        <v>46175</v>
      </c>
      <c r="U50" s="35" t="s">
        <v>49</v>
      </c>
      <c r="V50" s="35" t="s">
        <v>348</v>
      </c>
      <c r="W50" s="35" t="s">
        <v>365</v>
      </c>
      <c r="X50" s="36">
        <v>46184</v>
      </c>
      <c r="Y50" s="35" t="s">
        <v>350</v>
      </c>
      <c r="Z50" s="4">
        <f>IF(tblEnrollment[[#This Row],[Approved Date]]="",DATE(2026,6,3)-tblEnrollment[[#This Row],[Submitted Date]],tblEnrollment[[#This Row],[Approved Date]]-tblEnrollment[[#This Row],[Submitted Date]])</f>
        <v>6</v>
      </c>
      <c r="AA50" s="4" t="str">
        <f>IF(tblEnrollment[[#This Row],[Current Status]] ="Ready","Completed",IF(Z50&gt;21,"SLA Breached","Within SLA"))</f>
        <v>Completed</v>
      </c>
      <c r="AB50" s="4" t="str">
        <f>IF(tblEnrollment[[#This Row],[Credentialed NPI]] =tblEnrollment[[#This Row],[Enrolled NPI]],"NPI Match","NPI Mismatch")</f>
        <v>NPI Match</v>
      </c>
      <c r="AC50" s="4" t="str">
        <f>IF(OR(tblEnrollment[[#This Row],[Blocker Reason]] ="Individual NPI used instead of Group NPI",tblEnrollment[[#This Row],[Blocker Reason]] ="Credentialed NPI mismatch",tblEnrollment[[#This Row],[Blocker Reason]] ="Incorrect PTAN/Provider number"),"Yes","No")</f>
        <v>No</v>
      </c>
      <c r="AD50" s="4" t="str">
        <f>IF(OR(tblEnrollment[[#This Row],[Blocker Reason]] ="Wrong Payer ID",tblEnrollment[[#This Row],[Blocker Reason]] ="Old Payer ID used"),"Yes","No")</f>
        <v>No</v>
      </c>
      <c r="AE50" s="4" t="str">
        <f>IF(OR(tblEnrollment[[#This Row],[Clearinghouse Portal Updated]]="No",tblEnrollment[[#This Row],[Blocker Reason]] ="Clearinghouse portal not updated"),"Yes","No")</f>
        <v>No</v>
      </c>
      <c r="AF5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5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Status]]="Completed",AB50="NPI Match"),"Ready","Not Ready"),"Not Applicable")</f>
        <v>Not Applicable</v>
      </c>
      <c r="AH50" s="4" t="str">
        <f>IF(OR(tblEnrollment[[#This Row],[Enrollment Type]]="ERA",tblEnrollment[[#This Row],[Enrollment Type]]="Claims and ERA"),IF(AND(tblEnrollment[[#This Row],[Credentialing Status]]="Completed",tblEnrollment[[#This Row],[ERA Enrollment Status]]="Approved",tblEnrollment[[#This Row],[Clearinghouse Configuration Status]]="Completed",AB50="NPI Match"),"Ready","Not Ready"),"Not Applicable")</f>
        <v>Ready</v>
      </c>
      <c r="AI50" s="4" t="str">
        <f>IF(tblEnrollment[[#This Row],[Blocker Reason]] ="No Blocker","No","Yes")</f>
        <v>No</v>
      </c>
    </row>
    <row r="51" spans="1:35" ht="29">
      <c r="A51" s="35" t="s">
        <v>541</v>
      </c>
      <c r="B51" s="35" t="s">
        <v>70</v>
      </c>
      <c r="C51" s="35" t="s">
        <v>542</v>
      </c>
      <c r="D51" s="35" t="s">
        <v>543</v>
      </c>
      <c r="E51" s="35" t="s">
        <v>427</v>
      </c>
      <c r="F51" s="35" t="s">
        <v>427</v>
      </c>
      <c r="G51" s="35" t="s">
        <v>544</v>
      </c>
      <c r="H51" s="35" t="s">
        <v>382</v>
      </c>
      <c r="I51" s="35" t="s">
        <v>131</v>
      </c>
      <c r="J51" s="35" t="s">
        <v>342</v>
      </c>
      <c r="K51" s="35" t="s">
        <v>53</v>
      </c>
      <c r="L51" s="35" t="s">
        <v>54</v>
      </c>
      <c r="M51" s="35" t="s">
        <v>45</v>
      </c>
      <c r="N51" s="35" t="s">
        <v>46</v>
      </c>
      <c r="O51" s="35" t="s">
        <v>138</v>
      </c>
      <c r="P51" s="35" t="s">
        <v>138</v>
      </c>
      <c r="Q51" s="35" t="s">
        <v>48</v>
      </c>
      <c r="R51" s="35" t="s">
        <v>140</v>
      </c>
      <c r="S51" s="36">
        <v>46150</v>
      </c>
      <c r="T51" s="36"/>
      <c r="U51" s="35" t="s">
        <v>141</v>
      </c>
      <c r="V51" s="35" t="s">
        <v>144</v>
      </c>
      <c r="W51" s="35" t="s">
        <v>338</v>
      </c>
      <c r="X51" s="36">
        <v>46185</v>
      </c>
      <c r="Y51" s="35" t="s">
        <v>389</v>
      </c>
      <c r="Z51" s="4">
        <f>IF(tblEnrollment[[#This Row],[Approved Date]]="",DATE(2026,6,3)-tblEnrollment[[#This Row],[Submitted Date]],tblEnrollment[[#This Row],[Approved Date]]-tblEnrollment[[#This Row],[Submitted Date]])</f>
        <v>26</v>
      </c>
      <c r="AA51" s="4" t="str">
        <f>IF(tblEnrollment[[#This Row],[Current Status]] ="Ready","Completed",IF(Z51&gt;21,"SLA Breached","Within SLA"))</f>
        <v>SLA Breached</v>
      </c>
      <c r="AB51" s="4" t="str">
        <f>IF(tblEnrollment[[#This Row],[Credentialed NPI]] =tblEnrollment[[#This Row],[Enrolled NPI]],"NPI Match","NPI Mismatch")</f>
        <v>NPI Mismatch</v>
      </c>
      <c r="AC51" s="4" t="str">
        <f>IF(OR(tblEnrollment[[#This Row],[Blocker Reason]] ="Individual NPI used instead of Group NPI",tblEnrollment[[#This Row],[Blocker Reason]] ="Credentialed NPI mismatch",tblEnrollment[[#This Row],[Blocker Reason]] ="Incorrect PTAN/Provider number"),"Yes","No")</f>
        <v>Yes</v>
      </c>
      <c r="AD51" s="4" t="str">
        <f>IF(OR(tblEnrollment[[#This Row],[Blocker Reason]] ="Wrong Payer ID",tblEnrollment[[#This Row],[Blocker Reason]] ="Old Payer ID used"),"Yes","No")</f>
        <v>No</v>
      </c>
      <c r="AE51" s="4" t="str">
        <f>IF(OR(tblEnrollment[[#This Row],[Clearinghouse Portal Updated]]="No",tblEnrollment[[#This Row],[Blocker Reason]] ="Clearinghouse portal not updated"),"Yes","No")</f>
        <v>No</v>
      </c>
      <c r="AF5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5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Status]]="Completed",AB51="NPI Match"),"Ready","Not Ready"),"Not Applicable")</f>
        <v>Not Ready</v>
      </c>
      <c r="AH51" s="4" t="str">
        <f>IF(OR(tblEnrollment[[#This Row],[Enrollment Type]]="ERA",tblEnrollment[[#This Row],[Enrollment Type]]="Claims and ERA"),IF(AND(tblEnrollment[[#This Row],[Credentialing Status]]="Completed",tblEnrollment[[#This Row],[ERA Enrollment Status]]="Approved",tblEnrollment[[#This Row],[Clearinghouse Configuration Status]]="Completed",AB51="NPI Match"),"Ready","Not Ready"),"Not Applicable")</f>
        <v>Not Ready</v>
      </c>
      <c r="AI51" s="4" t="str">
        <f>IF(tblEnrollment[[#This Row],[Blocker Reason]] ="No Blocker","No","Yes")</f>
        <v>Yes</v>
      </c>
    </row>
    <row r="52" spans="1:35" ht="29">
      <c r="A52" s="35" t="s">
        <v>545</v>
      </c>
      <c r="B52" s="35" t="s">
        <v>403</v>
      </c>
      <c r="C52" s="35" t="s">
        <v>546</v>
      </c>
      <c r="D52" s="35" t="s">
        <v>547</v>
      </c>
      <c r="E52" s="35" t="s">
        <v>92</v>
      </c>
      <c r="F52" s="35" t="s">
        <v>92</v>
      </c>
      <c r="G52" s="35" t="s">
        <v>547</v>
      </c>
      <c r="H52" s="35" t="s">
        <v>400</v>
      </c>
      <c r="I52" s="35" t="s">
        <v>131</v>
      </c>
      <c r="J52" s="35" t="s">
        <v>342</v>
      </c>
      <c r="K52" s="35" t="s">
        <v>53</v>
      </c>
      <c r="L52" s="35" t="s">
        <v>54</v>
      </c>
      <c r="M52" s="35" t="s">
        <v>45</v>
      </c>
      <c r="N52" s="35" t="s">
        <v>46</v>
      </c>
      <c r="O52" s="35" t="s">
        <v>138</v>
      </c>
      <c r="P52" s="35" t="s">
        <v>138</v>
      </c>
      <c r="Q52" s="35" t="s">
        <v>48</v>
      </c>
      <c r="R52" s="35" t="s">
        <v>140</v>
      </c>
      <c r="S52" s="36">
        <v>46100</v>
      </c>
      <c r="T52" s="36"/>
      <c r="U52" s="35" t="s">
        <v>141</v>
      </c>
      <c r="V52" s="35" t="s">
        <v>412</v>
      </c>
      <c r="W52" s="35" t="s">
        <v>441</v>
      </c>
      <c r="X52" s="36">
        <v>46186</v>
      </c>
      <c r="Y52" s="35" t="s">
        <v>413</v>
      </c>
      <c r="Z52" s="4">
        <f>IF(tblEnrollment[[#This Row],[Approved Date]]="",DATE(2026,6,3)-tblEnrollment[[#This Row],[Submitted Date]],tblEnrollment[[#This Row],[Approved Date]]-tblEnrollment[[#This Row],[Submitted Date]])</f>
        <v>76</v>
      </c>
      <c r="AA52" s="4" t="str">
        <f>IF(tblEnrollment[[#This Row],[Current Status]] ="Ready","Completed",IF(Z52&gt;21,"SLA Breached","Within SLA"))</f>
        <v>SLA Breached</v>
      </c>
      <c r="AB52" s="4" t="str">
        <f>IF(tblEnrollment[[#This Row],[Credentialed NPI]] =tblEnrollment[[#This Row],[Enrolled NPI]],"NPI Match","NPI Mismatch")</f>
        <v>NPI Mismatch</v>
      </c>
      <c r="AC52" s="4" t="str">
        <f>IF(OR(tblEnrollment[[#This Row],[Blocker Reason]] ="Individual NPI used instead of Group NPI",tblEnrollment[[#This Row],[Blocker Reason]] ="Credentialed NPI mismatch",tblEnrollment[[#This Row],[Blocker Reason]] ="Incorrect PTAN/Provider number"),"Yes","No")</f>
        <v>Yes</v>
      </c>
      <c r="AD52" s="4" t="str">
        <f>IF(OR(tblEnrollment[[#This Row],[Blocker Reason]] ="Wrong Payer ID",tblEnrollment[[#This Row],[Blocker Reason]] ="Old Payer ID used"),"Yes","No")</f>
        <v>No</v>
      </c>
      <c r="AE52" s="4" t="str">
        <f>IF(OR(tblEnrollment[[#This Row],[Clearinghouse Portal Updated]]="No",tblEnrollment[[#This Row],[Blocker Reason]] ="Clearinghouse portal not updated"),"Yes","No")</f>
        <v>No</v>
      </c>
      <c r="AF5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5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Status]]="Completed",AB52="NPI Match"),"Ready","Not Ready"),"Not Applicable")</f>
        <v>Not Ready</v>
      </c>
      <c r="AH52" s="4" t="str">
        <f>IF(OR(tblEnrollment[[#This Row],[Enrollment Type]]="ERA",tblEnrollment[[#This Row],[Enrollment Type]]="Claims and ERA"),IF(AND(tblEnrollment[[#This Row],[Credentialing Status]]="Completed",tblEnrollment[[#This Row],[ERA Enrollment Status]]="Approved",tblEnrollment[[#This Row],[Clearinghouse Configuration Status]]="Completed",AB52="NPI Match"),"Ready","Not Ready"),"Not Applicable")</f>
        <v>Not Ready</v>
      </c>
      <c r="AI52" s="4" t="str">
        <f>IF(tblEnrollment[[#This Row],[Blocker Reason]] ="No Blocker","No","Yes")</f>
        <v>Yes</v>
      </c>
    </row>
    <row r="53" spans="1:35" ht="29">
      <c r="A53" s="35" t="s">
        <v>548</v>
      </c>
      <c r="B53" s="35" t="s">
        <v>76</v>
      </c>
      <c r="C53" s="35" t="s">
        <v>494</v>
      </c>
      <c r="D53" s="35" t="s">
        <v>549</v>
      </c>
      <c r="E53" s="35" t="s">
        <v>550</v>
      </c>
      <c r="F53" s="35" t="s">
        <v>550</v>
      </c>
      <c r="G53" s="35" t="s">
        <v>550</v>
      </c>
      <c r="H53" s="35" t="s">
        <v>122</v>
      </c>
      <c r="I53" s="35" t="s">
        <v>43</v>
      </c>
      <c r="J53" s="35" t="s">
        <v>357</v>
      </c>
      <c r="K53" s="35" t="s">
        <v>44</v>
      </c>
      <c r="L53" s="35" t="s">
        <v>551</v>
      </c>
      <c r="M53" s="35" t="s">
        <v>45</v>
      </c>
      <c r="N53" s="35" t="s">
        <v>46</v>
      </c>
      <c r="O53" s="35" t="s">
        <v>47</v>
      </c>
      <c r="P53" s="35" t="s">
        <v>47</v>
      </c>
      <c r="Q53" s="35" t="s">
        <v>48</v>
      </c>
      <c r="R53" s="35" t="s">
        <v>46</v>
      </c>
      <c r="S53" s="36">
        <v>46122</v>
      </c>
      <c r="T53" s="36">
        <v>46134</v>
      </c>
      <c r="U53" s="35" t="s">
        <v>49</v>
      </c>
      <c r="V53" s="35" t="s">
        <v>348</v>
      </c>
      <c r="W53" s="35" t="s">
        <v>330</v>
      </c>
      <c r="X53" s="36">
        <v>46184</v>
      </c>
      <c r="Y53" s="35" t="s">
        <v>350</v>
      </c>
      <c r="Z53" s="4">
        <f>IF(tblEnrollment[[#This Row],[Approved Date]]="",DATE(2026,6,3)-tblEnrollment[[#This Row],[Submitted Date]],tblEnrollment[[#This Row],[Approved Date]]-tblEnrollment[[#This Row],[Submitted Date]])</f>
        <v>12</v>
      </c>
      <c r="AA53" s="4" t="str">
        <f>IF(tblEnrollment[[#This Row],[Current Status]] ="Ready","Completed",IF(Z53&gt;21,"SLA Breached","Within SLA"))</f>
        <v>Completed</v>
      </c>
      <c r="AB53" s="4" t="str">
        <f>IF(tblEnrollment[[#This Row],[Credentialed NPI]] =tblEnrollment[[#This Row],[Enrolled NPI]],"NPI Match","NPI Mismatch")</f>
        <v>NPI Match</v>
      </c>
      <c r="AC53" s="4" t="str">
        <f>IF(OR(tblEnrollment[[#This Row],[Blocker Reason]] ="Individual NPI used instead of Group NPI",tblEnrollment[[#This Row],[Blocker Reason]] ="Credentialed NPI mismatch",tblEnrollment[[#This Row],[Blocker Reason]] ="Incorrect PTAN/Provider number"),"Yes","No")</f>
        <v>No</v>
      </c>
      <c r="AD53" s="4" t="str">
        <f>IF(OR(tblEnrollment[[#This Row],[Blocker Reason]] ="Wrong Payer ID",tblEnrollment[[#This Row],[Blocker Reason]] ="Old Payer ID used"),"Yes","No")</f>
        <v>No</v>
      </c>
      <c r="AE53" s="4" t="str">
        <f>IF(OR(tblEnrollment[[#This Row],[Clearinghouse Portal Updated]]="No",tblEnrollment[[#This Row],[Blocker Reason]] ="Clearinghouse portal not updated"),"Yes","No")</f>
        <v>No</v>
      </c>
      <c r="AF5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5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Status]]="Completed",AB53="NPI Match"),"Ready","Not Ready"),"Not Applicable")</f>
        <v>Ready</v>
      </c>
      <c r="AH53" s="4" t="str">
        <f>IF(OR(tblEnrollment[[#This Row],[Enrollment Type]]="ERA",tblEnrollment[[#This Row],[Enrollment Type]]="Claims and ERA"),IF(AND(tblEnrollment[[#This Row],[Credentialing Status]]="Completed",tblEnrollment[[#This Row],[ERA Enrollment Status]]="Approved",tblEnrollment[[#This Row],[Clearinghouse Configuration Status]]="Completed",AB53="NPI Match"),"Ready","Not Ready"),"Not Applicable")</f>
        <v>Ready</v>
      </c>
      <c r="AI53" s="4" t="str">
        <f>IF(tblEnrollment[[#This Row],[Blocker Reason]] ="No Blocker","No","Yes")</f>
        <v>No</v>
      </c>
    </row>
    <row r="54" spans="1:35" ht="29">
      <c r="A54" s="35" t="s">
        <v>552</v>
      </c>
      <c r="B54" s="35" t="s">
        <v>62</v>
      </c>
      <c r="C54" s="35" t="s">
        <v>553</v>
      </c>
      <c r="D54" s="35" t="s">
        <v>554</v>
      </c>
      <c r="E54" s="35" t="s">
        <v>409</v>
      </c>
      <c r="F54" s="35" t="s">
        <v>409</v>
      </c>
      <c r="G54" s="35" t="s">
        <v>409</v>
      </c>
      <c r="H54" s="35" t="s">
        <v>555</v>
      </c>
      <c r="I54" s="35" t="s">
        <v>129</v>
      </c>
      <c r="J54" s="35" t="s">
        <v>134</v>
      </c>
      <c r="K54" s="35" t="s">
        <v>44</v>
      </c>
      <c r="L54" s="35" t="s">
        <v>556</v>
      </c>
      <c r="M54" s="35" t="s">
        <v>45</v>
      </c>
      <c r="N54" s="35" t="s">
        <v>46</v>
      </c>
      <c r="O54" s="35" t="s">
        <v>47</v>
      </c>
      <c r="P54" s="35" t="s">
        <v>47</v>
      </c>
      <c r="Q54" s="35" t="s">
        <v>48</v>
      </c>
      <c r="R54" s="35" t="s">
        <v>46</v>
      </c>
      <c r="S54" s="36">
        <v>46141</v>
      </c>
      <c r="T54" s="36">
        <v>46153</v>
      </c>
      <c r="U54" s="35" t="s">
        <v>49</v>
      </c>
      <c r="V54" s="35" t="s">
        <v>348</v>
      </c>
      <c r="W54" s="35" t="s">
        <v>349</v>
      </c>
      <c r="X54" s="36">
        <v>46184</v>
      </c>
      <c r="Y54" s="35" t="s">
        <v>350</v>
      </c>
      <c r="Z54" s="4">
        <f>IF(tblEnrollment[[#This Row],[Approved Date]]="",DATE(2026,6,3)-tblEnrollment[[#This Row],[Submitted Date]],tblEnrollment[[#This Row],[Approved Date]]-tblEnrollment[[#This Row],[Submitted Date]])</f>
        <v>12</v>
      </c>
      <c r="AA54" s="4" t="str">
        <f>IF(tblEnrollment[[#This Row],[Current Status]] ="Ready","Completed",IF(Z54&gt;21,"SLA Breached","Within SLA"))</f>
        <v>Completed</v>
      </c>
      <c r="AB54" s="4" t="str">
        <f>IF(tblEnrollment[[#This Row],[Credentialed NPI]] =tblEnrollment[[#This Row],[Enrolled NPI]],"NPI Match","NPI Mismatch")</f>
        <v>NPI Match</v>
      </c>
      <c r="AC54" s="4" t="str">
        <f>IF(OR(tblEnrollment[[#This Row],[Blocker Reason]] ="Individual NPI used instead of Group NPI",tblEnrollment[[#This Row],[Blocker Reason]] ="Credentialed NPI mismatch",tblEnrollment[[#This Row],[Blocker Reason]] ="Incorrect PTAN/Provider number"),"Yes","No")</f>
        <v>No</v>
      </c>
      <c r="AD54" s="4" t="str">
        <f>IF(OR(tblEnrollment[[#This Row],[Blocker Reason]] ="Wrong Payer ID",tblEnrollment[[#This Row],[Blocker Reason]] ="Old Payer ID used"),"Yes","No")</f>
        <v>No</v>
      </c>
      <c r="AE54" s="4" t="str">
        <f>IF(OR(tblEnrollment[[#This Row],[Clearinghouse Portal Updated]]="No",tblEnrollment[[#This Row],[Blocker Reason]] ="Clearinghouse portal not updated"),"Yes","No")</f>
        <v>No</v>
      </c>
      <c r="AF5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5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Status]]="Completed",AB54="NPI Match"),"Ready","Not Ready"),"Not Applicable")</f>
        <v>Ready</v>
      </c>
      <c r="AH54" s="4" t="str">
        <f>IF(OR(tblEnrollment[[#This Row],[Enrollment Type]]="ERA",tblEnrollment[[#This Row],[Enrollment Type]]="Claims and ERA"),IF(AND(tblEnrollment[[#This Row],[Credentialing Status]]="Completed",tblEnrollment[[#This Row],[ERA Enrollment Status]]="Approved",tblEnrollment[[#This Row],[Clearinghouse Configuration Status]]="Completed",AB54="NPI Match"),"Ready","Not Ready"),"Not Applicable")</f>
        <v>Ready</v>
      </c>
      <c r="AI54" s="4" t="str">
        <f>IF(tblEnrollment[[#This Row],[Blocker Reason]] ="No Blocker","No","Yes")</f>
        <v>No</v>
      </c>
    </row>
    <row r="55" spans="1:35" ht="29">
      <c r="A55" s="35" t="s">
        <v>557</v>
      </c>
      <c r="B55" s="35" t="s">
        <v>59</v>
      </c>
      <c r="C55" s="35" t="s">
        <v>558</v>
      </c>
      <c r="D55" s="35" t="s">
        <v>559</v>
      </c>
      <c r="E55" s="35" t="s">
        <v>560</v>
      </c>
      <c r="F55" s="35" t="s">
        <v>560</v>
      </c>
      <c r="G55" s="35" t="s">
        <v>561</v>
      </c>
      <c r="H55" s="35" t="s">
        <v>562</v>
      </c>
      <c r="I55" s="35" t="s">
        <v>130</v>
      </c>
      <c r="J55" s="35" t="s">
        <v>393</v>
      </c>
      <c r="K55" s="35" t="s">
        <v>53</v>
      </c>
      <c r="L55" s="35" t="s">
        <v>54</v>
      </c>
      <c r="M55" s="35" t="s">
        <v>45</v>
      </c>
      <c r="N55" s="35" t="s">
        <v>46</v>
      </c>
      <c r="O55" s="35" t="s">
        <v>138</v>
      </c>
      <c r="P55" s="35" t="s">
        <v>138</v>
      </c>
      <c r="Q55" s="35" t="s">
        <v>48</v>
      </c>
      <c r="R55" s="35" t="s">
        <v>140</v>
      </c>
      <c r="S55" s="36">
        <v>46042</v>
      </c>
      <c r="T55" s="36"/>
      <c r="U55" s="35" t="s">
        <v>141</v>
      </c>
      <c r="V55" s="35" t="s">
        <v>144</v>
      </c>
      <c r="W55" s="35" t="s">
        <v>349</v>
      </c>
      <c r="X55" s="36">
        <v>46185</v>
      </c>
      <c r="Y55" s="35" t="s">
        <v>389</v>
      </c>
      <c r="Z55" s="4">
        <f>IF(tblEnrollment[[#This Row],[Approved Date]]="",DATE(2026,6,3)-tblEnrollment[[#This Row],[Submitted Date]],tblEnrollment[[#This Row],[Approved Date]]-tblEnrollment[[#This Row],[Submitted Date]])</f>
        <v>134</v>
      </c>
      <c r="AA55" s="4" t="str">
        <f>IF(tblEnrollment[[#This Row],[Current Status]] ="Ready","Completed",IF(Z55&gt;21,"SLA Breached","Within SLA"))</f>
        <v>SLA Breached</v>
      </c>
      <c r="AB55" s="4" t="str">
        <f>IF(tblEnrollment[[#This Row],[Credentialed NPI]] =tblEnrollment[[#This Row],[Enrolled NPI]],"NPI Match","NPI Mismatch")</f>
        <v>NPI Mismatch</v>
      </c>
      <c r="AC55" s="4" t="str">
        <f>IF(OR(tblEnrollment[[#This Row],[Blocker Reason]] ="Individual NPI used instead of Group NPI",tblEnrollment[[#This Row],[Blocker Reason]] ="Credentialed NPI mismatch",tblEnrollment[[#This Row],[Blocker Reason]] ="Incorrect PTAN/Provider number"),"Yes","No")</f>
        <v>Yes</v>
      </c>
      <c r="AD55" s="4" t="str">
        <f>IF(OR(tblEnrollment[[#This Row],[Blocker Reason]] ="Wrong Payer ID",tblEnrollment[[#This Row],[Blocker Reason]] ="Old Payer ID used"),"Yes","No")</f>
        <v>No</v>
      </c>
      <c r="AE55" s="4" t="str">
        <f>IF(OR(tblEnrollment[[#This Row],[Clearinghouse Portal Updated]]="No",tblEnrollment[[#This Row],[Blocker Reason]] ="Clearinghouse portal not updated"),"Yes","No")</f>
        <v>No</v>
      </c>
      <c r="AF5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5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Status]]="Completed",AB55="NPI Match"),"Ready","Not Ready"),"Not Applicable")</f>
        <v>Not Ready</v>
      </c>
      <c r="AH55" s="4" t="str">
        <f>IF(OR(tblEnrollment[[#This Row],[Enrollment Type]]="ERA",tblEnrollment[[#This Row],[Enrollment Type]]="Claims and ERA"),IF(AND(tblEnrollment[[#This Row],[Credentialing Status]]="Completed",tblEnrollment[[#This Row],[ERA Enrollment Status]]="Approved",tblEnrollment[[#This Row],[Clearinghouse Configuration Status]]="Completed",AB55="NPI Match"),"Ready","Not Ready"),"Not Applicable")</f>
        <v>Not Ready</v>
      </c>
      <c r="AI55" s="4" t="str">
        <f>IF(tblEnrollment[[#This Row],[Blocker Reason]] ="No Blocker","No","Yes")</f>
        <v>Yes</v>
      </c>
    </row>
    <row r="56" spans="1:35" ht="29">
      <c r="A56" s="35" t="s">
        <v>563</v>
      </c>
      <c r="B56" s="35" t="s">
        <v>16</v>
      </c>
      <c r="C56" s="35" t="s">
        <v>564</v>
      </c>
      <c r="D56" s="35" t="s">
        <v>565</v>
      </c>
      <c r="E56" s="35" t="s">
        <v>386</v>
      </c>
      <c r="F56" s="35" t="s">
        <v>386</v>
      </c>
      <c r="G56" s="35" t="s">
        <v>386</v>
      </c>
      <c r="H56" s="35" t="s">
        <v>423</v>
      </c>
      <c r="I56" s="35" t="s">
        <v>132</v>
      </c>
      <c r="J56" s="35" t="s">
        <v>530</v>
      </c>
      <c r="K56" s="35" t="s">
        <v>53</v>
      </c>
      <c r="L56" s="35" t="s">
        <v>54</v>
      </c>
      <c r="M56" s="35" t="s">
        <v>45</v>
      </c>
      <c r="N56" s="35" t="s">
        <v>46</v>
      </c>
      <c r="O56" s="35" t="s">
        <v>138</v>
      </c>
      <c r="P56" s="35" t="s">
        <v>138</v>
      </c>
      <c r="Q56" s="35" t="s">
        <v>48</v>
      </c>
      <c r="R56" s="35" t="s">
        <v>140</v>
      </c>
      <c r="S56" s="36">
        <v>46161</v>
      </c>
      <c r="T56" s="36"/>
      <c r="U56" s="35" t="s">
        <v>141</v>
      </c>
      <c r="V56" s="35" t="s">
        <v>435</v>
      </c>
      <c r="W56" s="35" t="s">
        <v>441</v>
      </c>
      <c r="X56" s="36">
        <v>46179</v>
      </c>
      <c r="Y56" s="35" t="s">
        <v>436</v>
      </c>
      <c r="Z56" s="4">
        <f>IF(tblEnrollment[[#This Row],[Approved Date]]="",DATE(2026,6,3)-tblEnrollment[[#This Row],[Submitted Date]],tblEnrollment[[#This Row],[Approved Date]]-tblEnrollment[[#This Row],[Submitted Date]])</f>
        <v>15</v>
      </c>
      <c r="AA56" s="4" t="str">
        <f>IF(tblEnrollment[[#This Row],[Current Status]] ="Ready","Completed",IF(Z56&gt;21,"SLA Breached","Within SLA"))</f>
        <v>Within SLA</v>
      </c>
      <c r="AB56" s="4" t="str">
        <f>IF(tblEnrollment[[#This Row],[Credentialed NPI]] =tblEnrollment[[#This Row],[Enrolled NPI]],"NPI Match","NPI Mismatch")</f>
        <v>NPI Match</v>
      </c>
      <c r="AC56" s="4" t="str">
        <f>IF(OR(tblEnrollment[[#This Row],[Blocker Reason]] ="Individual NPI used instead of Group NPI",tblEnrollment[[#This Row],[Blocker Reason]] ="Credentialed NPI mismatch",tblEnrollment[[#This Row],[Blocker Reason]] ="Incorrect PTAN/Provider number"),"Yes","No")</f>
        <v>No</v>
      </c>
      <c r="AD56" s="4" t="str">
        <f>IF(OR(tblEnrollment[[#This Row],[Blocker Reason]] ="Wrong Payer ID",tblEnrollment[[#This Row],[Blocker Reason]] ="Old Payer ID used"),"Yes","No")</f>
        <v>Yes</v>
      </c>
      <c r="AE56" s="4" t="str">
        <f>IF(OR(tblEnrollment[[#This Row],[Clearinghouse Portal Updated]]="No",tblEnrollment[[#This Row],[Blocker Reason]] ="Clearinghouse portal not updated"),"Yes","No")</f>
        <v>No</v>
      </c>
      <c r="AF5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5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Status]]="Completed",AB56="NPI Match"),"Ready","Not Ready"),"Not Applicable")</f>
        <v>Not Ready</v>
      </c>
      <c r="AH56" s="4" t="str">
        <f>IF(OR(tblEnrollment[[#This Row],[Enrollment Type]]="ERA",tblEnrollment[[#This Row],[Enrollment Type]]="Claims and ERA"),IF(AND(tblEnrollment[[#This Row],[Credentialing Status]]="Completed",tblEnrollment[[#This Row],[ERA Enrollment Status]]="Approved",tblEnrollment[[#This Row],[Clearinghouse Configuration Status]]="Completed",AB56="NPI Match"),"Ready","Not Ready"),"Not Applicable")</f>
        <v>Not Ready</v>
      </c>
      <c r="AI56" s="4" t="str">
        <f>IF(tblEnrollment[[#This Row],[Blocker Reason]] ="No Blocker","No","Yes")</f>
        <v>Yes</v>
      </c>
    </row>
    <row r="57" spans="1:35" ht="29">
      <c r="A57" s="35" t="s">
        <v>566</v>
      </c>
      <c r="B57" s="35" t="s">
        <v>71</v>
      </c>
      <c r="C57" s="35" t="s">
        <v>567</v>
      </c>
      <c r="D57" s="35" t="s">
        <v>568</v>
      </c>
      <c r="E57" s="35" t="s">
        <v>103</v>
      </c>
      <c r="F57" s="35" t="s">
        <v>103</v>
      </c>
      <c r="G57" s="35" t="s">
        <v>568</v>
      </c>
      <c r="H57" s="35" t="s">
        <v>108</v>
      </c>
      <c r="I57" s="35" t="s">
        <v>131</v>
      </c>
      <c r="J57" s="35" t="s">
        <v>342</v>
      </c>
      <c r="K57" s="35" t="s">
        <v>53</v>
      </c>
      <c r="L57" s="35" t="s">
        <v>54</v>
      </c>
      <c r="M57" s="35" t="s">
        <v>45</v>
      </c>
      <c r="N57" s="35" t="s">
        <v>46</v>
      </c>
      <c r="O57" s="35" t="s">
        <v>138</v>
      </c>
      <c r="P57" s="35" t="s">
        <v>138</v>
      </c>
      <c r="Q57" s="35" t="s">
        <v>48</v>
      </c>
      <c r="R57" s="35" t="s">
        <v>140</v>
      </c>
      <c r="S57" s="36">
        <v>46079</v>
      </c>
      <c r="T57" s="36"/>
      <c r="U57" s="35" t="s">
        <v>141</v>
      </c>
      <c r="V57" s="35" t="s">
        <v>412</v>
      </c>
      <c r="W57" s="35" t="s">
        <v>365</v>
      </c>
      <c r="X57" s="36">
        <v>46183</v>
      </c>
      <c r="Y57" s="35" t="s">
        <v>413</v>
      </c>
      <c r="Z57" s="4">
        <f>IF(tblEnrollment[[#This Row],[Approved Date]]="",DATE(2026,6,3)-tblEnrollment[[#This Row],[Submitted Date]],tblEnrollment[[#This Row],[Approved Date]]-tblEnrollment[[#This Row],[Submitted Date]])</f>
        <v>97</v>
      </c>
      <c r="AA57" s="4" t="str">
        <f>IF(tblEnrollment[[#This Row],[Current Status]] ="Ready","Completed",IF(Z57&gt;21,"SLA Breached","Within SLA"))</f>
        <v>SLA Breached</v>
      </c>
      <c r="AB57" s="4" t="str">
        <f>IF(tblEnrollment[[#This Row],[Credentialed NPI]] =tblEnrollment[[#This Row],[Enrolled NPI]],"NPI Match","NPI Mismatch")</f>
        <v>NPI Mismatch</v>
      </c>
      <c r="AC57" s="4" t="str">
        <f>IF(OR(tblEnrollment[[#This Row],[Blocker Reason]] ="Individual NPI used instead of Group NPI",tblEnrollment[[#This Row],[Blocker Reason]] ="Credentialed NPI mismatch",tblEnrollment[[#This Row],[Blocker Reason]] ="Incorrect PTAN/Provider number"),"Yes","No")</f>
        <v>Yes</v>
      </c>
      <c r="AD57" s="4" t="str">
        <f>IF(OR(tblEnrollment[[#This Row],[Blocker Reason]] ="Wrong Payer ID",tblEnrollment[[#This Row],[Blocker Reason]] ="Old Payer ID used"),"Yes","No")</f>
        <v>No</v>
      </c>
      <c r="AE57" s="4" t="str">
        <f>IF(OR(tblEnrollment[[#This Row],[Clearinghouse Portal Updated]]="No",tblEnrollment[[#This Row],[Blocker Reason]] ="Clearinghouse portal not updated"),"Yes","No")</f>
        <v>No</v>
      </c>
      <c r="AF5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5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Status]]="Completed",AB57="NPI Match"),"Ready","Not Ready"),"Not Applicable")</f>
        <v>Not Ready</v>
      </c>
      <c r="AH57" s="4" t="str">
        <f>IF(OR(tblEnrollment[[#This Row],[Enrollment Type]]="ERA",tblEnrollment[[#This Row],[Enrollment Type]]="Claims and ERA"),IF(AND(tblEnrollment[[#This Row],[Credentialing Status]]="Completed",tblEnrollment[[#This Row],[ERA Enrollment Status]]="Approved",tblEnrollment[[#This Row],[Clearinghouse Configuration Status]]="Completed",AB57="NPI Match"),"Ready","Not Ready"),"Not Applicable")</f>
        <v>Not Ready</v>
      </c>
      <c r="AI57" s="4" t="str">
        <f>IF(tblEnrollment[[#This Row],[Blocker Reason]] ="No Blocker","No","Yes")</f>
        <v>Yes</v>
      </c>
    </row>
    <row r="58" spans="1:35" ht="29">
      <c r="A58" s="35" t="s">
        <v>569</v>
      </c>
      <c r="B58" s="35" t="s">
        <v>471</v>
      </c>
      <c r="C58" s="35" t="s">
        <v>570</v>
      </c>
      <c r="D58" s="35" t="s">
        <v>571</v>
      </c>
      <c r="E58" s="35" t="s">
        <v>422</v>
      </c>
      <c r="F58" s="35" t="s">
        <v>422</v>
      </c>
      <c r="G58" s="35" t="s">
        <v>422</v>
      </c>
      <c r="H58" s="35" t="s">
        <v>111</v>
      </c>
      <c r="I58" s="35" t="s">
        <v>131</v>
      </c>
      <c r="J58" s="35" t="s">
        <v>342</v>
      </c>
      <c r="K58" s="35" t="s">
        <v>53</v>
      </c>
      <c r="L58" s="35" t="s">
        <v>54</v>
      </c>
      <c r="M58" s="35" t="s">
        <v>55</v>
      </c>
      <c r="N58" s="35" t="s">
        <v>137</v>
      </c>
      <c r="O58" s="35" t="s">
        <v>57</v>
      </c>
      <c r="P58" s="35" t="s">
        <v>139</v>
      </c>
      <c r="Q58" s="35" t="s">
        <v>58</v>
      </c>
      <c r="R58" s="35" t="s">
        <v>57</v>
      </c>
      <c r="S58" s="36">
        <v>46071</v>
      </c>
      <c r="T58" s="36"/>
      <c r="U58" s="35" t="s">
        <v>56</v>
      </c>
      <c r="V58" s="35" t="s">
        <v>147</v>
      </c>
      <c r="W58" s="35" t="s">
        <v>365</v>
      </c>
      <c r="X58" s="36">
        <v>46183</v>
      </c>
      <c r="Y58" s="35" t="s">
        <v>406</v>
      </c>
      <c r="Z58" s="4">
        <f>IF(tblEnrollment[[#This Row],[Approved Date]]="",DATE(2026,6,3)-tblEnrollment[[#This Row],[Submitted Date]],tblEnrollment[[#This Row],[Approved Date]]-tblEnrollment[[#This Row],[Submitted Date]])</f>
        <v>105</v>
      </c>
      <c r="AA58" s="4" t="str">
        <f>IF(tblEnrollment[[#This Row],[Current Status]] ="Ready","Completed",IF(Z58&gt;21,"SLA Breached","Within SLA"))</f>
        <v>SLA Breached</v>
      </c>
      <c r="AB58" s="4" t="str">
        <f>IF(tblEnrollment[[#This Row],[Credentialed NPI]] =tblEnrollment[[#This Row],[Enrolled NPI]],"NPI Match","NPI Mismatch")</f>
        <v>NPI Match</v>
      </c>
      <c r="AC58" s="4" t="str">
        <f>IF(OR(tblEnrollment[[#This Row],[Blocker Reason]] ="Individual NPI used instead of Group NPI",tblEnrollment[[#This Row],[Blocker Reason]] ="Credentialed NPI mismatch",tblEnrollment[[#This Row],[Blocker Reason]] ="Incorrect PTAN/Provider number"),"Yes","No")</f>
        <v>No</v>
      </c>
      <c r="AD58" s="4" t="str">
        <f>IF(OR(tblEnrollment[[#This Row],[Blocker Reason]] ="Wrong Payer ID",tblEnrollment[[#This Row],[Blocker Reason]] ="Old Payer ID used"),"Yes","No")</f>
        <v>No</v>
      </c>
      <c r="AE58" s="4" t="str">
        <f>IF(OR(tblEnrollment[[#This Row],[Clearinghouse Portal Updated]]="No",tblEnrollment[[#This Row],[Blocker Reason]] ="Clearinghouse portal not updated"),"Yes","No")</f>
        <v>Yes</v>
      </c>
      <c r="AF5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5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Status]]="Completed",AB58="NPI Match"),"Ready","Not Ready"),"Not Applicable")</f>
        <v>Not Ready</v>
      </c>
      <c r="AH58" s="4" t="str">
        <f>IF(OR(tblEnrollment[[#This Row],[Enrollment Type]]="ERA",tblEnrollment[[#This Row],[Enrollment Type]]="Claims and ERA"),IF(AND(tblEnrollment[[#This Row],[Credentialing Status]]="Completed",tblEnrollment[[#This Row],[ERA Enrollment Status]]="Approved",tblEnrollment[[#This Row],[Clearinghouse Configuration Status]]="Completed",AB58="NPI Match"),"Ready","Not Ready"),"Not Applicable")</f>
        <v>Not Applicable</v>
      </c>
      <c r="AI58" s="4" t="str">
        <f>IF(tblEnrollment[[#This Row],[Blocker Reason]] ="No Blocker","No","Yes")</f>
        <v>Yes</v>
      </c>
    </row>
    <row r="59" spans="1:35" ht="29">
      <c r="A59" s="35" t="s">
        <v>572</v>
      </c>
      <c r="B59" s="35" t="s">
        <v>65</v>
      </c>
      <c r="C59" s="35" t="s">
        <v>573</v>
      </c>
      <c r="D59" s="35" t="s">
        <v>574</v>
      </c>
      <c r="E59" s="35" t="s">
        <v>95</v>
      </c>
      <c r="F59" s="35" t="s">
        <v>95</v>
      </c>
      <c r="G59" s="35" t="s">
        <v>95</v>
      </c>
      <c r="H59" s="35" t="s">
        <v>115</v>
      </c>
      <c r="I59" s="35" t="s">
        <v>130</v>
      </c>
      <c r="J59" s="35" t="s">
        <v>575</v>
      </c>
      <c r="K59" s="35" t="s">
        <v>53</v>
      </c>
      <c r="L59" s="35" t="s">
        <v>54</v>
      </c>
      <c r="M59" s="35" t="s">
        <v>136</v>
      </c>
      <c r="N59" s="35" t="s">
        <v>46</v>
      </c>
      <c r="O59" s="35" t="s">
        <v>139</v>
      </c>
      <c r="P59" s="35" t="s">
        <v>138</v>
      </c>
      <c r="Q59" s="35" t="s">
        <v>48</v>
      </c>
      <c r="R59" s="35" t="s">
        <v>140</v>
      </c>
      <c r="S59" s="36">
        <v>46108</v>
      </c>
      <c r="T59" s="36"/>
      <c r="U59" s="35" t="s">
        <v>141</v>
      </c>
      <c r="V59" s="35" t="s">
        <v>329</v>
      </c>
      <c r="W59" s="35" t="s">
        <v>441</v>
      </c>
      <c r="X59" s="36">
        <v>46182</v>
      </c>
      <c r="Y59" s="35" t="s">
        <v>331</v>
      </c>
      <c r="Z59" s="4">
        <f>IF(tblEnrollment[[#This Row],[Approved Date]]="",DATE(2026,6,3)-tblEnrollment[[#This Row],[Submitted Date]],tblEnrollment[[#This Row],[Approved Date]]-tblEnrollment[[#This Row],[Submitted Date]])</f>
        <v>68</v>
      </c>
      <c r="AA59" s="4" t="str">
        <f>IF(tblEnrollment[[#This Row],[Current Status]] ="Ready","Completed",IF(Z59&gt;21,"SLA Breached","Within SLA"))</f>
        <v>SLA Breached</v>
      </c>
      <c r="AB59" s="4" t="str">
        <f>IF(tblEnrollment[[#This Row],[Credentialed NPI]] =tblEnrollment[[#This Row],[Enrolled NPI]],"NPI Match","NPI Mismatch")</f>
        <v>NPI Match</v>
      </c>
      <c r="AC59" s="4" t="str">
        <f>IF(OR(tblEnrollment[[#This Row],[Blocker Reason]] ="Individual NPI used instead of Group NPI",tblEnrollment[[#This Row],[Blocker Reason]] ="Credentialed NPI mismatch",tblEnrollment[[#This Row],[Blocker Reason]] ="Incorrect PTAN/Provider number"),"Yes","No")</f>
        <v>No</v>
      </c>
      <c r="AD59" s="4" t="str">
        <f>IF(OR(tblEnrollment[[#This Row],[Blocker Reason]] ="Wrong Payer ID",tblEnrollment[[#This Row],[Blocker Reason]] ="Old Payer ID used"),"Yes","No")</f>
        <v>Yes</v>
      </c>
      <c r="AE59" s="4" t="str">
        <f>IF(OR(tblEnrollment[[#This Row],[Clearinghouse Portal Updated]]="No",tblEnrollment[[#This Row],[Blocker Reason]] ="Clearinghouse portal not updated"),"Yes","No")</f>
        <v>No</v>
      </c>
      <c r="AF5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5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Status]]="Completed",AB59="NPI Match"),"Ready","Not Ready"),"Not Applicable")</f>
        <v>Not Applicable</v>
      </c>
      <c r="AH59" s="4" t="str">
        <f>IF(OR(tblEnrollment[[#This Row],[Enrollment Type]]="ERA",tblEnrollment[[#This Row],[Enrollment Type]]="Claims and ERA"),IF(AND(tblEnrollment[[#This Row],[Credentialing Status]]="Completed",tblEnrollment[[#This Row],[ERA Enrollment Status]]="Approved",tblEnrollment[[#This Row],[Clearinghouse Configuration Status]]="Completed",AB59="NPI Match"),"Ready","Not Ready"),"Not Applicable")</f>
        <v>Not Ready</v>
      </c>
      <c r="AI59" s="4" t="str">
        <f>IF(tblEnrollment[[#This Row],[Blocker Reason]] ="No Blocker","No","Yes")</f>
        <v>Yes</v>
      </c>
    </row>
    <row r="60" spans="1:35" ht="29">
      <c r="A60" s="35" t="s">
        <v>576</v>
      </c>
      <c r="B60" s="35" t="s">
        <v>71</v>
      </c>
      <c r="C60" s="35" t="s">
        <v>577</v>
      </c>
      <c r="D60" s="35" t="s">
        <v>578</v>
      </c>
      <c r="E60" s="35" t="s">
        <v>405</v>
      </c>
      <c r="F60" s="35" t="s">
        <v>405</v>
      </c>
      <c r="G60" s="35" t="s">
        <v>405</v>
      </c>
      <c r="H60" s="35" t="s">
        <v>108</v>
      </c>
      <c r="I60" s="35" t="s">
        <v>43</v>
      </c>
      <c r="J60" s="35" t="s">
        <v>357</v>
      </c>
      <c r="K60" s="35" t="s">
        <v>44</v>
      </c>
      <c r="L60" s="35" t="s">
        <v>579</v>
      </c>
      <c r="M60" s="35" t="s">
        <v>45</v>
      </c>
      <c r="N60" s="35" t="s">
        <v>46</v>
      </c>
      <c r="O60" s="35" t="s">
        <v>47</v>
      </c>
      <c r="P60" s="35" t="s">
        <v>56</v>
      </c>
      <c r="Q60" s="35" t="s">
        <v>58</v>
      </c>
      <c r="R60" s="35" t="s">
        <v>56</v>
      </c>
      <c r="S60" s="36">
        <v>46054</v>
      </c>
      <c r="T60" s="36"/>
      <c r="U60" s="35" t="s">
        <v>56</v>
      </c>
      <c r="V60" s="35" t="s">
        <v>143</v>
      </c>
      <c r="W60" s="35" t="s">
        <v>330</v>
      </c>
      <c r="X60" s="36">
        <v>46186</v>
      </c>
      <c r="Y60" s="35" t="s">
        <v>343</v>
      </c>
      <c r="Z60" s="4">
        <f>IF(tblEnrollment[[#This Row],[Approved Date]]="",DATE(2026,6,3)-tblEnrollment[[#This Row],[Submitted Date]],tblEnrollment[[#This Row],[Approved Date]]-tblEnrollment[[#This Row],[Submitted Date]])</f>
        <v>122</v>
      </c>
      <c r="AA60" s="4" t="str">
        <f>IF(tblEnrollment[[#This Row],[Current Status]] ="Ready","Completed",IF(Z60&gt;21,"SLA Breached","Within SLA"))</f>
        <v>SLA Breached</v>
      </c>
      <c r="AB60" s="4" t="str">
        <f>IF(tblEnrollment[[#This Row],[Credentialed NPI]] =tblEnrollment[[#This Row],[Enrolled NPI]],"NPI Match","NPI Mismatch")</f>
        <v>NPI Match</v>
      </c>
      <c r="AC60" s="4" t="str">
        <f>IF(OR(tblEnrollment[[#This Row],[Blocker Reason]] ="Individual NPI used instead of Group NPI",tblEnrollment[[#This Row],[Blocker Reason]] ="Credentialed NPI mismatch",tblEnrollment[[#This Row],[Blocker Reason]] ="Incorrect PTAN/Provider number"),"Yes","No")</f>
        <v>No</v>
      </c>
      <c r="AD60" s="4" t="str">
        <f>IF(OR(tblEnrollment[[#This Row],[Blocker Reason]] ="Wrong Payer ID",tblEnrollment[[#This Row],[Blocker Reason]] ="Old Payer ID used"),"Yes","No")</f>
        <v>No</v>
      </c>
      <c r="AE60" s="4" t="str">
        <f>IF(OR(tblEnrollment[[#This Row],[Clearinghouse Portal Updated]]="No",tblEnrollment[[#This Row],[Blocker Reason]] ="Clearinghouse portal not updated"),"Yes","No")</f>
        <v>Yes</v>
      </c>
      <c r="AF6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6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Status]]="Completed",AB60="NPI Match"),"Ready","Not Ready"),"Not Applicable")</f>
        <v>Not Ready</v>
      </c>
      <c r="AH60" s="4" t="str">
        <f>IF(OR(tblEnrollment[[#This Row],[Enrollment Type]]="ERA",tblEnrollment[[#This Row],[Enrollment Type]]="Claims and ERA"),IF(AND(tblEnrollment[[#This Row],[Credentialing Status]]="Completed",tblEnrollment[[#This Row],[ERA Enrollment Status]]="Approved",tblEnrollment[[#This Row],[Clearinghouse Configuration Status]]="Completed",AB60="NPI Match"),"Ready","Not Ready"),"Not Applicable")</f>
        <v>Not Ready</v>
      </c>
      <c r="AI60" s="4" t="str">
        <f>IF(tblEnrollment[[#This Row],[Blocker Reason]] ="No Blocker","No","Yes")</f>
        <v>Yes</v>
      </c>
    </row>
    <row r="61" spans="1:35" ht="29">
      <c r="A61" s="35" t="s">
        <v>580</v>
      </c>
      <c r="B61" s="35" t="s">
        <v>64</v>
      </c>
      <c r="C61" s="35" t="s">
        <v>581</v>
      </c>
      <c r="D61" s="35" t="s">
        <v>582</v>
      </c>
      <c r="E61" s="35" t="s">
        <v>83</v>
      </c>
      <c r="F61" s="35" t="s">
        <v>83</v>
      </c>
      <c r="G61" s="35" t="s">
        <v>83</v>
      </c>
      <c r="H61" s="35" t="s">
        <v>583</v>
      </c>
      <c r="I61" s="35" t="s">
        <v>346</v>
      </c>
      <c r="J61" s="35" t="s">
        <v>347</v>
      </c>
      <c r="K61" s="35" t="s">
        <v>53</v>
      </c>
      <c r="L61" s="35" t="s">
        <v>54</v>
      </c>
      <c r="M61" s="35" t="s">
        <v>55</v>
      </c>
      <c r="N61" s="35" t="s">
        <v>46</v>
      </c>
      <c r="O61" s="35" t="s">
        <v>47</v>
      </c>
      <c r="P61" s="35" t="s">
        <v>139</v>
      </c>
      <c r="Q61" s="35" t="s">
        <v>48</v>
      </c>
      <c r="R61" s="35" t="s">
        <v>46</v>
      </c>
      <c r="S61" s="36">
        <v>46066</v>
      </c>
      <c r="T61" s="36">
        <v>46082</v>
      </c>
      <c r="U61" s="35" t="s">
        <v>49</v>
      </c>
      <c r="V61" s="35" t="s">
        <v>348</v>
      </c>
      <c r="W61" s="35" t="s">
        <v>349</v>
      </c>
      <c r="X61" s="36">
        <v>46179</v>
      </c>
      <c r="Y61" s="35" t="s">
        <v>350</v>
      </c>
      <c r="Z61" s="4">
        <f>IF(tblEnrollment[[#This Row],[Approved Date]]="",DATE(2026,6,3)-tblEnrollment[[#This Row],[Submitted Date]],tblEnrollment[[#This Row],[Approved Date]]-tblEnrollment[[#This Row],[Submitted Date]])</f>
        <v>16</v>
      </c>
      <c r="AA61" s="4" t="str">
        <f>IF(tblEnrollment[[#This Row],[Current Status]] ="Ready","Completed",IF(Z61&gt;21,"SLA Breached","Within SLA"))</f>
        <v>Completed</v>
      </c>
      <c r="AB61" s="4" t="str">
        <f>IF(tblEnrollment[[#This Row],[Credentialed NPI]] =tblEnrollment[[#This Row],[Enrolled NPI]],"NPI Match","NPI Mismatch")</f>
        <v>NPI Match</v>
      </c>
      <c r="AC61" s="4" t="str">
        <f>IF(OR(tblEnrollment[[#This Row],[Blocker Reason]] ="Individual NPI used instead of Group NPI",tblEnrollment[[#This Row],[Blocker Reason]] ="Credentialed NPI mismatch",tblEnrollment[[#This Row],[Blocker Reason]] ="Incorrect PTAN/Provider number"),"Yes","No")</f>
        <v>No</v>
      </c>
      <c r="AD61" s="4" t="str">
        <f>IF(OR(tblEnrollment[[#This Row],[Blocker Reason]] ="Wrong Payer ID",tblEnrollment[[#This Row],[Blocker Reason]] ="Old Payer ID used"),"Yes","No")</f>
        <v>No</v>
      </c>
      <c r="AE61" s="4" t="str">
        <f>IF(OR(tblEnrollment[[#This Row],[Clearinghouse Portal Updated]]="No",tblEnrollment[[#This Row],[Blocker Reason]] ="Clearinghouse portal not updated"),"Yes","No")</f>
        <v>No</v>
      </c>
      <c r="AF6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6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Status]]="Completed",AB61="NPI Match"),"Ready","Not Ready"),"Not Applicable")</f>
        <v>Ready</v>
      </c>
      <c r="AH61" s="4" t="str">
        <f>IF(OR(tblEnrollment[[#This Row],[Enrollment Type]]="ERA",tblEnrollment[[#This Row],[Enrollment Type]]="Claims and ERA"),IF(AND(tblEnrollment[[#This Row],[Credentialing Status]]="Completed",tblEnrollment[[#This Row],[ERA Enrollment Status]]="Approved",tblEnrollment[[#This Row],[Clearinghouse Configuration Status]]="Completed",AB61="NPI Match"),"Ready","Not Ready"),"Not Applicable")</f>
        <v>Not Applicable</v>
      </c>
      <c r="AI61" s="4" t="str">
        <f>IF(tblEnrollment[[#This Row],[Blocker Reason]] ="No Blocker","No","Yes")</f>
        <v>No</v>
      </c>
    </row>
    <row r="62" spans="1:35" ht="29">
      <c r="A62" s="35" t="s">
        <v>584</v>
      </c>
      <c r="B62" s="35" t="s">
        <v>391</v>
      </c>
      <c r="C62" s="35" t="s">
        <v>585</v>
      </c>
      <c r="D62" s="35" t="s">
        <v>586</v>
      </c>
      <c r="E62" s="35" t="s">
        <v>334</v>
      </c>
      <c r="F62" s="35" t="s">
        <v>334</v>
      </c>
      <c r="G62" s="35" t="s">
        <v>334</v>
      </c>
      <c r="H62" s="35" t="s">
        <v>108</v>
      </c>
      <c r="I62" s="35" t="s">
        <v>346</v>
      </c>
      <c r="J62" s="35" t="s">
        <v>347</v>
      </c>
      <c r="K62" s="35" t="s">
        <v>53</v>
      </c>
      <c r="L62" s="35" t="s">
        <v>54</v>
      </c>
      <c r="M62" s="35" t="s">
        <v>45</v>
      </c>
      <c r="N62" s="35" t="s">
        <v>137</v>
      </c>
      <c r="O62" s="35" t="s">
        <v>57</v>
      </c>
      <c r="P62" s="35" t="s">
        <v>57</v>
      </c>
      <c r="Q62" s="35" t="s">
        <v>58</v>
      </c>
      <c r="R62" s="35" t="s">
        <v>57</v>
      </c>
      <c r="S62" s="36">
        <v>46078</v>
      </c>
      <c r="T62" s="36"/>
      <c r="U62" s="35" t="s">
        <v>56</v>
      </c>
      <c r="V62" s="35" t="s">
        <v>147</v>
      </c>
      <c r="W62" s="35" t="s">
        <v>330</v>
      </c>
      <c r="X62" s="36">
        <v>46180</v>
      </c>
      <c r="Y62" s="35" t="s">
        <v>406</v>
      </c>
      <c r="Z62" s="4">
        <f>IF(tblEnrollment[[#This Row],[Approved Date]]="",DATE(2026,6,3)-tblEnrollment[[#This Row],[Submitted Date]],tblEnrollment[[#This Row],[Approved Date]]-tblEnrollment[[#This Row],[Submitted Date]])</f>
        <v>98</v>
      </c>
      <c r="AA62" s="4" t="str">
        <f>IF(tblEnrollment[[#This Row],[Current Status]] ="Ready","Completed",IF(Z62&gt;21,"SLA Breached","Within SLA"))</f>
        <v>SLA Breached</v>
      </c>
      <c r="AB62" s="4" t="str">
        <f>IF(tblEnrollment[[#This Row],[Credentialed NPI]] =tblEnrollment[[#This Row],[Enrolled NPI]],"NPI Match","NPI Mismatch")</f>
        <v>NPI Match</v>
      </c>
      <c r="AC62" s="4" t="str">
        <f>IF(OR(tblEnrollment[[#This Row],[Blocker Reason]] ="Individual NPI used instead of Group NPI",tblEnrollment[[#This Row],[Blocker Reason]] ="Credentialed NPI mismatch",tblEnrollment[[#This Row],[Blocker Reason]] ="Incorrect PTAN/Provider number"),"Yes","No")</f>
        <v>No</v>
      </c>
      <c r="AD62" s="4" t="str">
        <f>IF(OR(tblEnrollment[[#This Row],[Blocker Reason]] ="Wrong Payer ID",tblEnrollment[[#This Row],[Blocker Reason]] ="Old Payer ID used"),"Yes","No")</f>
        <v>No</v>
      </c>
      <c r="AE62" s="4" t="str">
        <f>IF(OR(tblEnrollment[[#This Row],[Clearinghouse Portal Updated]]="No",tblEnrollment[[#This Row],[Blocker Reason]] ="Clearinghouse portal not updated"),"Yes","No")</f>
        <v>Yes</v>
      </c>
      <c r="AF6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6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Status]]="Completed",AB62="NPI Match"),"Ready","Not Ready"),"Not Applicable")</f>
        <v>Not Ready</v>
      </c>
      <c r="AH62" s="4" t="str">
        <f>IF(OR(tblEnrollment[[#This Row],[Enrollment Type]]="ERA",tblEnrollment[[#This Row],[Enrollment Type]]="Claims and ERA"),IF(AND(tblEnrollment[[#This Row],[Credentialing Status]]="Completed",tblEnrollment[[#This Row],[ERA Enrollment Status]]="Approved",tblEnrollment[[#This Row],[Clearinghouse Configuration Status]]="Completed",AB62="NPI Match"),"Ready","Not Ready"),"Not Applicable")</f>
        <v>Not Ready</v>
      </c>
      <c r="AI62" s="4" t="str">
        <f>IF(tblEnrollment[[#This Row],[Blocker Reason]] ="No Blocker","No","Yes")</f>
        <v>Yes</v>
      </c>
    </row>
    <row r="63" spans="1:35" ht="29">
      <c r="A63" s="35" t="s">
        <v>587</v>
      </c>
      <c r="B63" s="35" t="s">
        <v>471</v>
      </c>
      <c r="C63" s="35" t="s">
        <v>588</v>
      </c>
      <c r="D63" s="35" t="s">
        <v>589</v>
      </c>
      <c r="E63" s="35" t="s">
        <v>478</v>
      </c>
      <c r="F63" s="35" t="s">
        <v>478</v>
      </c>
      <c r="G63" s="35" t="s">
        <v>478</v>
      </c>
      <c r="H63" s="35" t="s">
        <v>118</v>
      </c>
      <c r="I63" s="35" t="s">
        <v>130</v>
      </c>
      <c r="J63" s="35" t="s">
        <v>393</v>
      </c>
      <c r="K63" s="35" t="s">
        <v>53</v>
      </c>
      <c r="L63" s="35" t="s">
        <v>54</v>
      </c>
      <c r="M63" s="35" t="s">
        <v>136</v>
      </c>
      <c r="N63" s="35" t="s">
        <v>137</v>
      </c>
      <c r="O63" s="35" t="s">
        <v>139</v>
      </c>
      <c r="P63" s="35" t="s">
        <v>57</v>
      </c>
      <c r="Q63" s="35" t="s">
        <v>58</v>
      </c>
      <c r="R63" s="35" t="s">
        <v>57</v>
      </c>
      <c r="S63" s="36">
        <v>46056</v>
      </c>
      <c r="T63" s="36"/>
      <c r="U63" s="35" t="s">
        <v>56</v>
      </c>
      <c r="V63" s="35" t="s">
        <v>147</v>
      </c>
      <c r="W63" s="35" t="s">
        <v>365</v>
      </c>
      <c r="X63" s="36">
        <v>46185</v>
      </c>
      <c r="Y63" s="35" t="s">
        <v>406</v>
      </c>
      <c r="Z63" s="4">
        <f>IF(tblEnrollment[[#This Row],[Approved Date]]="",DATE(2026,6,3)-tblEnrollment[[#This Row],[Submitted Date]],tblEnrollment[[#This Row],[Approved Date]]-tblEnrollment[[#This Row],[Submitted Date]])</f>
        <v>120</v>
      </c>
      <c r="AA63" s="4" t="str">
        <f>IF(tblEnrollment[[#This Row],[Current Status]] ="Ready","Completed",IF(Z63&gt;21,"SLA Breached","Within SLA"))</f>
        <v>SLA Breached</v>
      </c>
      <c r="AB63" s="4" t="str">
        <f>IF(tblEnrollment[[#This Row],[Credentialed NPI]] =tblEnrollment[[#This Row],[Enrolled NPI]],"NPI Match","NPI Mismatch")</f>
        <v>NPI Match</v>
      </c>
      <c r="AC63" s="4" t="str">
        <f>IF(OR(tblEnrollment[[#This Row],[Blocker Reason]] ="Individual NPI used instead of Group NPI",tblEnrollment[[#This Row],[Blocker Reason]] ="Credentialed NPI mismatch",tblEnrollment[[#This Row],[Blocker Reason]] ="Incorrect PTAN/Provider number"),"Yes","No")</f>
        <v>No</v>
      </c>
      <c r="AD63" s="4" t="str">
        <f>IF(OR(tblEnrollment[[#This Row],[Blocker Reason]] ="Wrong Payer ID",tblEnrollment[[#This Row],[Blocker Reason]] ="Old Payer ID used"),"Yes","No")</f>
        <v>No</v>
      </c>
      <c r="AE63" s="4" t="str">
        <f>IF(OR(tblEnrollment[[#This Row],[Clearinghouse Portal Updated]]="No",tblEnrollment[[#This Row],[Blocker Reason]] ="Clearinghouse portal not updated"),"Yes","No")</f>
        <v>Yes</v>
      </c>
      <c r="AF6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6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Status]]="Completed",AB63="NPI Match"),"Ready","Not Ready"),"Not Applicable")</f>
        <v>Not Applicable</v>
      </c>
      <c r="AH63" s="4" t="str">
        <f>IF(OR(tblEnrollment[[#This Row],[Enrollment Type]]="ERA",tblEnrollment[[#This Row],[Enrollment Type]]="Claims and ERA"),IF(AND(tblEnrollment[[#This Row],[Credentialing Status]]="Completed",tblEnrollment[[#This Row],[ERA Enrollment Status]]="Approved",tblEnrollment[[#This Row],[Clearinghouse Configuration Status]]="Completed",AB63="NPI Match"),"Ready","Not Ready"),"Not Applicable")</f>
        <v>Not Ready</v>
      </c>
      <c r="AI63" s="4" t="str">
        <f>IF(tblEnrollment[[#This Row],[Blocker Reason]] ="No Blocker","No","Yes")</f>
        <v>Yes</v>
      </c>
    </row>
    <row r="64" spans="1:35" ht="29">
      <c r="A64" s="35" t="s">
        <v>590</v>
      </c>
      <c r="B64" s="35" t="s">
        <v>78</v>
      </c>
      <c r="C64" s="35" t="s">
        <v>591</v>
      </c>
      <c r="D64" s="35" t="s">
        <v>592</v>
      </c>
      <c r="E64" s="35" t="s">
        <v>478</v>
      </c>
      <c r="F64" s="35" t="s">
        <v>478</v>
      </c>
      <c r="G64" s="35" t="s">
        <v>478</v>
      </c>
      <c r="H64" s="35" t="s">
        <v>593</v>
      </c>
      <c r="I64" s="35" t="s">
        <v>346</v>
      </c>
      <c r="J64" s="35" t="s">
        <v>594</v>
      </c>
      <c r="K64" s="35" t="s">
        <v>53</v>
      </c>
      <c r="L64" s="35" t="s">
        <v>54</v>
      </c>
      <c r="M64" s="35" t="s">
        <v>45</v>
      </c>
      <c r="N64" s="35" t="s">
        <v>46</v>
      </c>
      <c r="O64" s="35" t="s">
        <v>138</v>
      </c>
      <c r="P64" s="35" t="s">
        <v>138</v>
      </c>
      <c r="Q64" s="35" t="s">
        <v>48</v>
      </c>
      <c r="R64" s="35" t="s">
        <v>140</v>
      </c>
      <c r="S64" s="36">
        <v>46125</v>
      </c>
      <c r="T64" s="36"/>
      <c r="U64" s="35" t="s">
        <v>141</v>
      </c>
      <c r="V64" s="35" t="s">
        <v>329</v>
      </c>
      <c r="W64" s="35" t="s">
        <v>349</v>
      </c>
      <c r="X64" s="36">
        <v>46184</v>
      </c>
      <c r="Y64" s="35" t="s">
        <v>331</v>
      </c>
      <c r="Z64" s="4">
        <f>IF(tblEnrollment[[#This Row],[Approved Date]]="",DATE(2026,6,3)-tblEnrollment[[#This Row],[Submitted Date]],tblEnrollment[[#This Row],[Approved Date]]-tblEnrollment[[#This Row],[Submitted Date]])</f>
        <v>51</v>
      </c>
      <c r="AA64" s="4" t="str">
        <f>IF(tblEnrollment[[#This Row],[Current Status]] ="Ready","Completed",IF(Z64&gt;21,"SLA Breached","Within SLA"))</f>
        <v>SLA Breached</v>
      </c>
      <c r="AB64" s="4" t="str">
        <f>IF(tblEnrollment[[#This Row],[Credentialed NPI]] =tblEnrollment[[#This Row],[Enrolled NPI]],"NPI Match","NPI Mismatch")</f>
        <v>NPI Match</v>
      </c>
      <c r="AC64" s="4" t="str">
        <f>IF(OR(tblEnrollment[[#This Row],[Blocker Reason]] ="Individual NPI used instead of Group NPI",tblEnrollment[[#This Row],[Blocker Reason]] ="Credentialed NPI mismatch",tblEnrollment[[#This Row],[Blocker Reason]] ="Incorrect PTAN/Provider number"),"Yes","No")</f>
        <v>No</v>
      </c>
      <c r="AD64" s="4" t="str">
        <f>IF(OR(tblEnrollment[[#This Row],[Blocker Reason]] ="Wrong Payer ID",tblEnrollment[[#This Row],[Blocker Reason]] ="Old Payer ID used"),"Yes","No")</f>
        <v>Yes</v>
      </c>
      <c r="AE64" s="4" t="str">
        <f>IF(OR(tblEnrollment[[#This Row],[Clearinghouse Portal Updated]]="No",tblEnrollment[[#This Row],[Blocker Reason]] ="Clearinghouse portal not updated"),"Yes","No")</f>
        <v>No</v>
      </c>
      <c r="AF6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6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Status]]="Completed",AB64="NPI Match"),"Ready","Not Ready"),"Not Applicable")</f>
        <v>Not Ready</v>
      </c>
      <c r="AH64" s="4" t="str">
        <f>IF(OR(tblEnrollment[[#This Row],[Enrollment Type]]="ERA",tblEnrollment[[#This Row],[Enrollment Type]]="Claims and ERA"),IF(AND(tblEnrollment[[#This Row],[Credentialing Status]]="Completed",tblEnrollment[[#This Row],[ERA Enrollment Status]]="Approved",tblEnrollment[[#This Row],[Clearinghouse Configuration Status]]="Completed",AB64="NPI Match"),"Ready","Not Ready"),"Not Applicable")</f>
        <v>Not Ready</v>
      </c>
      <c r="AI64" s="4" t="str">
        <f>IF(tblEnrollment[[#This Row],[Blocker Reason]] ="No Blocker","No","Yes")</f>
        <v>Yes</v>
      </c>
    </row>
    <row r="65" spans="1:35" ht="29">
      <c r="A65" s="35" t="s">
        <v>595</v>
      </c>
      <c r="B65" s="35" t="s">
        <v>60</v>
      </c>
      <c r="C65" s="35" t="s">
        <v>596</v>
      </c>
      <c r="D65" s="35" t="s">
        <v>597</v>
      </c>
      <c r="E65" s="35" t="s">
        <v>103</v>
      </c>
      <c r="F65" s="35" t="s">
        <v>103</v>
      </c>
      <c r="G65" s="35" t="s">
        <v>103</v>
      </c>
      <c r="H65" s="35" t="s">
        <v>598</v>
      </c>
      <c r="I65" s="35" t="s">
        <v>43</v>
      </c>
      <c r="J65" s="35" t="s">
        <v>357</v>
      </c>
      <c r="K65" s="35" t="s">
        <v>44</v>
      </c>
      <c r="L65" s="35" t="s">
        <v>599</v>
      </c>
      <c r="M65" s="35" t="s">
        <v>45</v>
      </c>
      <c r="N65" s="35" t="s">
        <v>46</v>
      </c>
      <c r="O65" s="35" t="s">
        <v>56</v>
      </c>
      <c r="P65" s="35" t="s">
        <v>56</v>
      </c>
      <c r="Q65" s="35" t="s">
        <v>48</v>
      </c>
      <c r="R65" s="35" t="s">
        <v>137</v>
      </c>
      <c r="S65" s="36">
        <v>46064</v>
      </c>
      <c r="T65" s="36"/>
      <c r="U65" s="35" t="s">
        <v>56</v>
      </c>
      <c r="V65" s="35" t="s">
        <v>148</v>
      </c>
      <c r="W65" s="35" t="s">
        <v>441</v>
      </c>
      <c r="X65" s="36">
        <v>46182</v>
      </c>
      <c r="Y65" s="35" t="s">
        <v>359</v>
      </c>
      <c r="Z65" s="4">
        <f>IF(tblEnrollment[[#This Row],[Approved Date]]="",DATE(2026,6,3)-tblEnrollment[[#This Row],[Submitted Date]],tblEnrollment[[#This Row],[Approved Date]]-tblEnrollment[[#This Row],[Submitted Date]])</f>
        <v>112</v>
      </c>
      <c r="AA65" s="4" t="str">
        <f>IF(tblEnrollment[[#This Row],[Current Status]] ="Ready","Completed",IF(Z65&gt;21,"SLA Breached","Within SLA"))</f>
        <v>SLA Breached</v>
      </c>
      <c r="AB65" s="4" t="str">
        <f>IF(tblEnrollment[[#This Row],[Credentialed NPI]] =tblEnrollment[[#This Row],[Enrolled NPI]],"NPI Match","NPI Mismatch")</f>
        <v>NPI Match</v>
      </c>
      <c r="AC65" s="4" t="str">
        <f>IF(OR(tblEnrollment[[#This Row],[Blocker Reason]] ="Individual NPI used instead of Group NPI",tblEnrollment[[#This Row],[Blocker Reason]] ="Credentialed NPI mismatch",tblEnrollment[[#This Row],[Blocker Reason]] ="Incorrect PTAN/Provider number"),"Yes","No")</f>
        <v>No</v>
      </c>
      <c r="AD65" s="4" t="str">
        <f>IF(OR(tblEnrollment[[#This Row],[Blocker Reason]] ="Wrong Payer ID",tblEnrollment[[#This Row],[Blocker Reason]] ="Old Payer ID used"),"Yes","No")</f>
        <v>No</v>
      </c>
      <c r="AE65" s="4" t="str">
        <f>IF(OR(tblEnrollment[[#This Row],[Clearinghouse Portal Updated]]="No",tblEnrollment[[#This Row],[Blocker Reason]] ="Clearinghouse portal not updated"),"Yes","No")</f>
        <v>No</v>
      </c>
      <c r="AF6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6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Status]]="Completed",AB65="NPI Match"),"Ready","Not Ready"),"Not Applicable")</f>
        <v>Not Ready</v>
      </c>
      <c r="AH65" s="4" t="str">
        <f>IF(OR(tblEnrollment[[#This Row],[Enrollment Type]]="ERA",tblEnrollment[[#This Row],[Enrollment Type]]="Claims and ERA"),IF(AND(tblEnrollment[[#This Row],[Credentialing Status]]="Completed",tblEnrollment[[#This Row],[ERA Enrollment Status]]="Approved",tblEnrollment[[#This Row],[Clearinghouse Configuration Status]]="Completed",AB65="NPI Match"),"Ready","Not Ready"),"Not Applicable")</f>
        <v>Not Ready</v>
      </c>
      <c r="AI65" s="4" t="str">
        <f>IF(tblEnrollment[[#This Row],[Blocker Reason]] ="No Blocker","No","Yes")</f>
        <v>Yes</v>
      </c>
    </row>
    <row r="66" spans="1:35" ht="29">
      <c r="A66" s="35" t="s">
        <v>600</v>
      </c>
      <c r="B66" s="35" t="s">
        <v>78</v>
      </c>
      <c r="C66" s="35" t="s">
        <v>601</v>
      </c>
      <c r="D66" s="35" t="s">
        <v>602</v>
      </c>
      <c r="E66" s="35" t="s">
        <v>93</v>
      </c>
      <c r="F66" s="35" t="s">
        <v>93</v>
      </c>
      <c r="G66" s="35" t="s">
        <v>93</v>
      </c>
      <c r="H66" s="35" t="s">
        <v>423</v>
      </c>
      <c r="I66" s="35" t="s">
        <v>131</v>
      </c>
      <c r="J66" s="35" t="s">
        <v>342</v>
      </c>
      <c r="K66" s="35" t="s">
        <v>53</v>
      </c>
      <c r="L66" s="35" t="s">
        <v>54</v>
      </c>
      <c r="M66" s="35" t="s">
        <v>45</v>
      </c>
      <c r="N66" s="35" t="s">
        <v>137</v>
      </c>
      <c r="O66" s="35" t="s">
        <v>57</v>
      </c>
      <c r="P66" s="35" t="s">
        <v>57</v>
      </c>
      <c r="Q66" s="35" t="s">
        <v>58</v>
      </c>
      <c r="R66" s="35" t="s">
        <v>57</v>
      </c>
      <c r="S66" s="36">
        <v>46174</v>
      </c>
      <c r="T66" s="36"/>
      <c r="U66" s="35" t="s">
        <v>56</v>
      </c>
      <c r="V66" s="35" t="s">
        <v>147</v>
      </c>
      <c r="W66" s="35" t="s">
        <v>349</v>
      </c>
      <c r="X66" s="36">
        <v>46183</v>
      </c>
      <c r="Y66" s="35" t="s">
        <v>406</v>
      </c>
      <c r="Z66" s="4">
        <f>IF(tblEnrollment[[#This Row],[Approved Date]]="",DATE(2026,6,3)-tblEnrollment[[#This Row],[Submitted Date]],tblEnrollment[[#This Row],[Approved Date]]-tblEnrollment[[#This Row],[Submitted Date]])</f>
        <v>2</v>
      </c>
      <c r="AA66" s="4" t="str">
        <f>IF(tblEnrollment[[#This Row],[Current Status]] ="Ready","Completed",IF(Z66&gt;21,"SLA Breached","Within SLA"))</f>
        <v>Within SLA</v>
      </c>
      <c r="AB66" s="4" t="str">
        <f>IF(tblEnrollment[[#This Row],[Credentialed NPI]] =tblEnrollment[[#This Row],[Enrolled NPI]],"NPI Match","NPI Mismatch")</f>
        <v>NPI Match</v>
      </c>
      <c r="AC66" s="4" t="str">
        <f>IF(OR(tblEnrollment[[#This Row],[Blocker Reason]] ="Individual NPI used instead of Group NPI",tblEnrollment[[#This Row],[Blocker Reason]] ="Credentialed NPI mismatch",tblEnrollment[[#This Row],[Blocker Reason]] ="Incorrect PTAN/Provider number"),"Yes","No")</f>
        <v>No</v>
      </c>
      <c r="AD66" s="4" t="str">
        <f>IF(OR(tblEnrollment[[#This Row],[Blocker Reason]] ="Wrong Payer ID",tblEnrollment[[#This Row],[Blocker Reason]] ="Old Payer ID used"),"Yes","No")</f>
        <v>No</v>
      </c>
      <c r="AE66" s="4" t="str">
        <f>IF(OR(tblEnrollment[[#This Row],[Clearinghouse Portal Updated]]="No",tblEnrollment[[#This Row],[Blocker Reason]] ="Clearinghouse portal not updated"),"Yes","No")</f>
        <v>Yes</v>
      </c>
      <c r="AF6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6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Status]]="Completed",AB66="NPI Match"),"Ready","Not Ready"),"Not Applicable")</f>
        <v>Not Ready</v>
      </c>
      <c r="AH66" s="4" t="str">
        <f>IF(OR(tblEnrollment[[#This Row],[Enrollment Type]]="ERA",tblEnrollment[[#This Row],[Enrollment Type]]="Claims and ERA"),IF(AND(tblEnrollment[[#This Row],[Credentialing Status]]="Completed",tblEnrollment[[#This Row],[ERA Enrollment Status]]="Approved",tblEnrollment[[#This Row],[Clearinghouse Configuration Status]]="Completed",AB66="NPI Match"),"Ready","Not Ready"),"Not Applicable")</f>
        <v>Not Ready</v>
      </c>
      <c r="AI66" s="4" t="str">
        <f>IF(tblEnrollment[[#This Row],[Blocker Reason]] ="No Blocker","No","Yes")</f>
        <v>Yes</v>
      </c>
    </row>
    <row r="67" spans="1:35" ht="29">
      <c r="A67" s="35" t="s">
        <v>603</v>
      </c>
      <c r="B67" s="35" t="s">
        <v>403</v>
      </c>
      <c r="C67" s="35" t="s">
        <v>604</v>
      </c>
      <c r="D67" s="35" t="s">
        <v>605</v>
      </c>
      <c r="E67" s="35" t="s">
        <v>102</v>
      </c>
      <c r="F67" s="35" t="s">
        <v>102</v>
      </c>
      <c r="G67" s="35" t="s">
        <v>102</v>
      </c>
      <c r="H67" s="35" t="s">
        <v>606</v>
      </c>
      <c r="I67" s="35" t="s">
        <v>132</v>
      </c>
      <c r="J67" s="35" t="s">
        <v>401</v>
      </c>
      <c r="K67" s="35" t="s">
        <v>53</v>
      </c>
      <c r="L67" s="35" t="s">
        <v>54</v>
      </c>
      <c r="M67" s="35" t="s">
        <v>55</v>
      </c>
      <c r="N67" s="35" t="s">
        <v>46</v>
      </c>
      <c r="O67" s="35" t="s">
        <v>47</v>
      </c>
      <c r="P67" s="35" t="s">
        <v>139</v>
      </c>
      <c r="Q67" s="35" t="s">
        <v>48</v>
      </c>
      <c r="R67" s="35" t="s">
        <v>137</v>
      </c>
      <c r="S67" s="36">
        <v>46108</v>
      </c>
      <c r="T67" s="36"/>
      <c r="U67" s="35" t="s">
        <v>56</v>
      </c>
      <c r="V67" s="35" t="s">
        <v>364</v>
      </c>
      <c r="W67" s="35" t="s">
        <v>365</v>
      </c>
      <c r="X67" s="36">
        <v>46183</v>
      </c>
      <c r="Y67" s="35" t="s">
        <v>366</v>
      </c>
      <c r="Z67" s="4">
        <f>IF(tblEnrollment[[#This Row],[Approved Date]]="",DATE(2026,6,3)-tblEnrollment[[#This Row],[Submitted Date]],tblEnrollment[[#This Row],[Approved Date]]-tblEnrollment[[#This Row],[Submitted Date]])</f>
        <v>68</v>
      </c>
      <c r="AA67" s="4" t="str">
        <f>IF(tblEnrollment[[#This Row],[Current Status]] ="Ready","Completed",IF(Z67&gt;21,"SLA Breached","Within SLA"))</f>
        <v>SLA Breached</v>
      </c>
      <c r="AB67" s="4" t="str">
        <f>IF(tblEnrollment[[#This Row],[Credentialed NPI]] =tblEnrollment[[#This Row],[Enrolled NPI]],"NPI Match","NPI Mismatch")</f>
        <v>NPI Match</v>
      </c>
      <c r="AC67" s="4" t="str">
        <f>IF(OR(tblEnrollment[[#This Row],[Blocker Reason]] ="Individual NPI used instead of Group NPI",tblEnrollment[[#This Row],[Blocker Reason]] ="Credentialed NPI mismatch",tblEnrollment[[#This Row],[Blocker Reason]] ="Incorrect PTAN/Provider number"),"Yes","No")</f>
        <v>No</v>
      </c>
      <c r="AD67" s="4" t="str">
        <f>IF(OR(tblEnrollment[[#This Row],[Blocker Reason]] ="Wrong Payer ID",tblEnrollment[[#This Row],[Blocker Reason]] ="Old Payer ID used"),"Yes","No")</f>
        <v>No</v>
      </c>
      <c r="AE67" s="4" t="str">
        <f>IF(OR(tblEnrollment[[#This Row],[Clearinghouse Portal Updated]]="No",tblEnrollment[[#This Row],[Blocker Reason]] ="Clearinghouse portal not updated"),"Yes","No")</f>
        <v>No</v>
      </c>
      <c r="AF6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6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Status]]="Completed",AB67="NPI Match"),"Ready","Not Ready"),"Not Applicable")</f>
        <v>Not Ready</v>
      </c>
      <c r="AH67" s="4" t="str">
        <f>IF(OR(tblEnrollment[[#This Row],[Enrollment Type]]="ERA",tblEnrollment[[#This Row],[Enrollment Type]]="Claims and ERA"),IF(AND(tblEnrollment[[#This Row],[Credentialing Status]]="Completed",tblEnrollment[[#This Row],[ERA Enrollment Status]]="Approved",tblEnrollment[[#This Row],[Clearinghouse Configuration Status]]="Completed",AB67="NPI Match"),"Ready","Not Ready"),"Not Applicable")</f>
        <v>Not Applicable</v>
      </c>
      <c r="AI67" s="4" t="str">
        <f>IF(tblEnrollment[[#This Row],[Blocker Reason]] ="No Blocker","No","Yes")</f>
        <v>Yes</v>
      </c>
    </row>
    <row r="68" spans="1:35" ht="29">
      <c r="A68" s="35" t="s">
        <v>607</v>
      </c>
      <c r="B68" s="35" t="s">
        <v>74</v>
      </c>
      <c r="C68" s="35" t="s">
        <v>608</v>
      </c>
      <c r="D68" s="35" t="s">
        <v>609</v>
      </c>
      <c r="E68" s="35" t="s">
        <v>386</v>
      </c>
      <c r="F68" s="35" t="s">
        <v>386</v>
      </c>
      <c r="G68" s="35" t="s">
        <v>386</v>
      </c>
      <c r="H68" s="35" t="s">
        <v>610</v>
      </c>
      <c r="I68" s="35" t="s">
        <v>51</v>
      </c>
      <c r="J68" s="35" t="s">
        <v>611</v>
      </c>
      <c r="K68" s="35" t="s">
        <v>53</v>
      </c>
      <c r="L68" s="35" t="s">
        <v>54</v>
      </c>
      <c r="M68" s="35" t="s">
        <v>55</v>
      </c>
      <c r="N68" s="35" t="s">
        <v>46</v>
      </c>
      <c r="O68" s="35" t="s">
        <v>138</v>
      </c>
      <c r="P68" s="35" t="s">
        <v>139</v>
      </c>
      <c r="Q68" s="35" t="s">
        <v>48</v>
      </c>
      <c r="R68" s="35" t="s">
        <v>140</v>
      </c>
      <c r="S68" s="36">
        <v>46161</v>
      </c>
      <c r="T68" s="36"/>
      <c r="U68" s="35" t="s">
        <v>141</v>
      </c>
      <c r="V68" s="35" t="s">
        <v>435</v>
      </c>
      <c r="W68" s="35" t="s">
        <v>441</v>
      </c>
      <c r="X68" s="36">
        <v>46179</v>
      </c>
      <c r="Y68" s="35" t="s">
        <v>436</v>
      </c>
      <c r="Z68" s="4">
        <f>IF(tblEnrollment[[#This Row],[Approved Date]]="",DATE(2026,6,3)-tblEnrollment[[#This Row],[Submitted Date]],tblEnrollment[[#This Row],[Approved Date]]-tblEnrollment[[#This Row],[Submitted Date]])</f>
        <v>15</v>
      </c>
      <c r="AA68" s="4" t="str">
        <f>IF(tblEnrollment[[#This Row],[Current Status]] ="Ready","Completed",IF(Z68&gt;21,"SLA Breached","Within SLA"))</f>
        <v>Within SLA</v>
      </c>
      <c r="AB68" s="4" t="str">
        <f>IF(tblEnrollment[[#This Row],[Credentialed NPI]] =tblEnrollment[[#This Row],[Enrolled NPI]],"NPI Match","NPI Mismatch")</f>
        <v>NPI Match</v>
      </c>
      <c r="AC68" s="4" t="str">
        <f>IF(OR(tblEnrollment[[#This Row],[Blocker Reason]] ="Individual NPI used instead of Group NPI",tblEnrollment[[#This Row],[Blocker Reason]] ="Credentialed NPI mismatch",tblEnrollment[[#This Row],[Blocker Reason]] ="Incorrect PTAN/Provider number"),"Yes","No")</f>
        <v>No</v>
      </c>
      <c r="AD68" s="4" t="str">
        <f>IF(OR(tblEnrollment[[#This Row],[Blocker Reason]] ="Wrong Payer ID",tblEnrollment[[#This Row],[Blocker Reason]] ="Old Payer ID used"),"Yes","No")</f>
        <v>Yes</v>
      </c>
      <c r="AE68" s="4" t="str">
        <f>IF(OR(tblEnrollment[[#This Row],[Clearinghouse Portal Updated]]="No",tblEnrollment[[#This Row],[Blocker Reason]] ="Clearinghouse portal not updated"),"Yes","No")</f>
        <v>No</v>
      </c>
      <c r="AF6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6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Status]]="Completed",AB68="NPI Match"),"Ready","Not Ready"),"Not Applicable")</f>
        <v>Not Ready</v>
      </c>
      <c r="AH68" s="4" t="str">
        <f>IF(OR(tblEnrollment[[#This Row],[Enrollment Type]]="ERA",tblEnrollment[[#This Row],[Enrollment Type]]="Claims and ERA"),IF(AND(tblEnrollment[[#This Row],[Credentialing Status]]="Completed",tblEnrollment[[#This Row],[ERA Enrollment Status]]="Approved",tblEnrollment[[#This Row],[Clearinghouse Configuration Status]]="Completed",AB68="NPI Match"),"Ready","Not Ready"),"Not Applicable")</f>
        <v>Not Applicable</v>
      </c>
      <c r="AI68" s="4" t="str">
        <f>IF(tblEnrollment[[#This Row],[Blocker Reason]] ="No Blocker","No","Yes")</f>
        <v>Yes</v>
      </c>
    </row>
    <row r="69" spans="1:35" ht="29">
      <c r="A69" s="35" t="s">
        <v>612</v>
      </c>
      <c r="B69" s="35" t="s">
        <v>67</v>
      </c>
      <c r="C69" s="35" t="s">
        <v>613</v>
      </c>
      <c r="D69" s="35" t="s">
        <v>614</v>
      </c>
      <c r="E69" s="35" t="s">
        <v>334</v>
      </c>
      <c r="F69" s="35" t="s">
        <v>334</v>
      </c>
      <c r="G69" s="35" t="s">
        <v>615</v>
      </c>
      <c r="H69" s="35" t="s">
        <v>492</v>
      </c>
      <c r="I69" s="35" t="s">
        <v>131</v>
      </c>
      <c r="J69" s="35" t="s">
        <v>342</v>
      </c>
      <c r="K69" s="35" t="s">
        <v>53</v>
      </c>
      <c r="L69" s="35" t="s">
        <v>54</v>
      </c>
      <c r="M69" s="35" t="s">
        <v>45</v>
      </c>
      <c r="N69" s="35" t="s">
        <v>46</v>
      </c>
      <c r="O69" s="35" t="s">
        <v>138</v>
      </c>
      <c r="P69" s="35" t="s">
        <v>138</v>
      </c>
      <c r="Q69" s="35" t="s">
        <v>48</v>
      </c>
      <c r="R69" s="35" t="s">
        <v>140</v>
      </c>
      <c r="S69" s="36">
        <v>46085</v>
      </c>
      <c r="T69" s="36"/>
      <c r="U69" s="35" t="s">
        <v>141</v>
      </c>
      <c r="V69" s="35" t="s">
        <v>144</v>
      </c>
      <c r="W69" s="35" t="s">
        <v>365</v>
      </c>
      <c r="X69" s="36">
        <v>46177</v>
      </c>
      <c r="Y69" s="35" t="s">
        <v>389</v>
      </c>
      <c r="Z69" s="4">
        <f>IF(tblEnrollment[[#This Row],[Approved Date]]="",DATE(2026,6,3)-tblEnrollment[[#This Row],[Submitted Date]],tblEnrollment[[#This Row],[Approved Date]]-tblEnrollment[[#This Row],[Submitted Date]])</f>
        <v>91</v>
      </c>
      <c r="AA69" s="4" t="str">
        <f>IF(tblEnrollment[[#This Row],[Current Status]] ="Ready","Completed",IF(Z69&gt;21,"SLA Breached","Within SLA"))</f>
        <v>SLA Breached</v>
      </c>
      <c r="AB69" s="4" t="str">
        <f>IF(tblEnrollment[[#This Row],[Credentialed NPI]] =tblEnrollment[[#This Row],[Enrolled NPI]],"NPI Match","NPI Mismatch")</f>
        <v>NPI Mismatch</v>
      </c>
      <c r="AC69" s="4" t="str">
        <f>IF(OR(tblEnrollment[[#This Row],[Blocker Reason]] ="Individual NPI used instead of Group NPI",tblEnrollment[[#This Row],[Blocker Reason]] ="Credentialed NPI mismatch",tblEnrollment[[#This Row],[Blocker Reason]] ="Incorrect PTAN/Provider number"),"Yes","No")</f>
        <v>Yes</v>
      </c>
      <c r="AD69" s="4" t="str">
        <f>IF(OR(tblEnrollment[[#This Row],[Blocker Reason]] ="Wrong Payer ID",tblEnrollment[[#This Row],[Blocker Reason]] ="Old Payer ID used"),"Yes","No")</f>
        <v>No</v>
      </c>
      <c r="AE69" s="4" t="str">
        <f>IF(OR(tblEnrollment[[#This Row],[Clearinghouse Portal Updated]]="No",tblEnrollment[[#This Row],[Blocker Reason]] ="Clearinghouse portal not updated"),"Yes","No")</f>
        <v>No</v>
      </c>
      <c r="AF6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6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Status]]="Completed",AB69="NPI Match"),"Ready","Not Ready"),"Not Applicable")</f>
        <v>Not Ready</v>
      </c>
      <c r="AH69" s="4" t="str">
        <f>IF(OR(tblEnrollment[[#This Row],[Enrollment Type]]="ERA",tblEnrollment[[#This Row],[Enrollment Type]]="Claims and ERA"),IF(AND(tblEnrollment[[#This Row],[Credentialing Status]]="Completed",tblEnrollment[[#This Row],[ERA Enrollment Status]]="Approved",tblEnrollment[[#This Row],[Clearinghouse Configuration Status]]="Completed",AB69="NPI Match"),"Ready","Not Ready"),"Not Applicable")</f>
        <v>Not Ready</v>
      </c>
      <c r="AI69" s="4" t="str">
        <f>IF(tblEnrollment[[#This Row],[Blocker Reason]] ="No Blocker","No","Yes")</f>
        <v>Yes</v>
      </c>
    </row>
    <row r="70" spans="1:35" ht="29">
      <c r="A70" s="35" t="s">
        <v>616</v>
      </c>
      <c r="B70" s="35" t="s">
        <v>71</v>
      </c>
      <c r="C70" s="35" t="s">
        <v>617</v>
      </c>
      <c r="D70" s="35" t="s">
        <v>618</v>
      </c>
      <c r="E70" s="35" t="s">
        <v>97</v>
      </c>
      <c r="F70" s="35" t="s">
        <v>97</v>
      </c>
      <c r="G70" s="35" t="s">
        <v>97</v>
      </c>
      <c r="H70" s="35" t="s">
        <v>619</v>
      </c>
      <c r="I70" s="35" t="s">
        <v>131</v>
      </c>
      <c r="J70" s="35" t="s">
        <v>342</v>
      </c>
      <c r="K70" s="35" t="s">
        <v>53</v>
      </c>
      <c r="L70" s="35" t="s">
        <v>54</v>
      </c>
      <c r="M70" s="35" t="s">
        <v>45</v>
      </c>
      <c r="N70" s="35" t="s">
        <v>137</v>
      </c>
      <c r="O70" s="35" t="s">
        <v>57</v>
      </c>
      <c r="P70" s="35" t="s">
        <v>57</v>
      </c>
      <c r="Q70" s="35" t="s">
        <v>58</v>
      </c>
      <c r="R70" s="35" t="s">
        <v>57</v>
      </c>
      <c r="S70" s="36">
        <v>46151</v>
      </c>
      <c r="T70" s="36"/>
      <c r="U70" s="35" t="s">
        <v>56</v>
      </c>
      <c r="V70" s="35" t="s">
        <v>147</v>
      </c>
      <c r="W70" s="35" t="s">
        <v>330</v>
      </c>
      <c r="X70" s="36">
        <v>46176</v>
      </c>
      <c r="Y70" s="35" t="s">
        <v>406</v>
      </c>
      <c r="Z70" s="4">
        <f>IF(tblEnrollment[[#This Row],[Approved Date]]="",DATE(2026,6,3)-tblEnrollment[[#This Row],[Submitted Date]],tblEnrollment[[#This Row],[Approved Date]]-tblEnrollment[[#This Row],[Submitted Date]])</f>
        <v>25</v>
      </c>
      <c r="AA70" s="4" t="str">
        <f>IF(tblEnrollment[[#This Row],[Current Status]] ="Ready","Completed",IF(Z70&gt;21,"SLA Breached","Within SLA"))</f>
        <v>SLA Breached</v>
      </c>
      <c r="AB70" s="4" t="str">
        <f>IF(tblEnrollment[[#This Row],[Credentialed NPI]] =tblEnrollment[[#This Row],[Enrolled NPI]],"NPI Match","NPI Mismatch")</f>
        <v>NPI Match</v>
      </c>
      <c r="AC70" s="4" t="str">
        <f>IF(OR(tblEnrollment[[#This Row],[Blocker Reason]] ="Individual NPI used instead of Group NPI",tblEnrollment[[#This Row],[Blocker Reason]] ="Credentialed NPI mismatch",tblEnrollment[[#This Row],[Blocker Reason]] ="Incorrect PTAN/Provider number"),"Yes","No")</f>
        <v>No</v>
      </c>
      <c r="AD70" s="4" t="str">
        <f>IF(OR(tblEnrollment[[#This Row],[Blocker Reason]] ="Wrong Payer ID",tblEnrollment[[#This Row],[Blocker Reason]] ="Old Payer ID used"),"Yes","No")</f>
        <v>No</v>
      </c>
      <c r="AE70" s="4" t="str">
        <f>IF(OR(tblEnrollment[[#This Row],[Clearinghouse Portal Updated]]="No",tblEnrollment[[#This Row],[Blocker Reason]] ="Clearinghouse portal not updated"),"Yes","No")</f>
        <v>Yes</v>
      </c>
      <c r="AF7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7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Status]]="Completed",AB70="NPI Match"),"Ready","Not Ready"),"Not Applicable")</f>
        <v>Not Ready</v>
      </c>
      <c r="AH70" s="4" t="str">
        <f>IF(OR(tblEnrollment[[#This Row],[Enrollment Type]]="ERA",tblEnrollment[[#This Row],[Enrollment Type]]="Claims and ERA"),IF(AND(tblEnrollment[[#This Row],[Credentialing Status]]="Completed",tblEnrollment[[#This Row],[ERA Enrollment Status]]="Approved",tblEnrollment[[#This Row],[Clearinghouse Configuration Status]]="Completed",AB70="NPI Match"),"Ready","Not Ready"),"Not Applicable")</f>
        <v>Not Ready</v>
      </c>
      <c r="AI70" s="4" t="str">
        <f>IF(tblEnrollment[[#This Row],[Blocker Reason]] ="No Blocker","No","Yes")</f>
        <v>Yes</v>
      </c>
    </row>
    <row r="71" spans="1:35" ht="29">
      <c r="A71" s="35" t="s">
        <v>620</v>
      </c>
      <c r="B71" s="35" t="s">
        <v>64</v>
      </c>
      <c r="C71" s="35" t="s">
        <v>621</v>
      </c>
      <c r="D71" s="35" t="s">
        <v>622</v>
      </c>
      <c r="E71" s="35" t="s">
        <v>97</v>
      </c>
      <c r="F71" s="35" t="s">
        <v>97</v>
      </c>
      <c r="G71" s="35" t="s">
        <v>97</v>
      </c>
      <c r="H71" s="35" t="s">
        <v>500</v>
      </c>
      <c r="I71" s="35" t="s">
        <v>51</v>
      </c>
      <c r="J71" s="35" t="s">
        <v>52</v>
      </c>
      <c r="K71" s="35" t="s">
        <v>53</v>
      </c>
      <c r="L71" s="35" t="s">
        <v>54</v>
      </c>
      <c r="M71" s="35" t="s">
        <v>45</v>
      </c>
      <c r="N71" s="35" t="s">
        <v>46</v>
      </c>
      <c r="O71" s="35" t="s">
        <v>47</v>
      </c>
      <c r="P71" s="35" t="s">
        <v>56</v>
      </c>
      <c r="Q71" s="35" t="s">
        <v>58</v>
      </c>
      <c r="R71" s="35" t="s">
        <v>56</v>
      </c>
      <c r="S71" s="36">
        <v>46172</v>
      </c>
      <c r="T71" s="36"/>
      <c r="U71" s="35" t="s">
        <v>56</v>
      </c>
      <c r="V71" s="35" t="s">
        <v>143</v>
      </c>
      <c r="W71" s="35" t="s">
        <v>349</v>
      </c>
      <c r="X71" s="36">
        <v>46181</v>
      </c>
      <c r="Y71" s="35" t="s">
        <v>343</v>
      </c>
      <c r="Z71" s="4">
        <f>IF(tblEnrollment[[#This Row],[Approved Date]]="",DATE(2026,6,3)-tblEnrollment[[#This Row],[Submitted Date]],tblEnrollment[[#This Row],[Approved Date]]-tblEnrollment[[#This Row],[Submitted Date]])</f>
        <v>4</v>
      </c>
      <c r="AA71" s="4" t="str">
        <f>IF(tblEnrollment[[#This Row],[Current Status]] ="Ready","Completed",IF(Z71&gt;21,"SLA Breached","Within SLA"))</f>
        <v>Within SLA</v>
      </c>
      <c r="AB71" s="4" t="str">
        <f>IF(tblEnrollment[[#This Row],[Credentialed NPI]] =tblEnrollment[[#This Row],[Enrolled NPI]],"NPI Match","NPI Mismatch")</f>
        <v>NPI Match</v>
      </c>
      <c r="AC71" s="4" t="str">
        <f>IF(OR(tblEnrollment[[#This Row],[Blocker Reason]] ="Individual NPI used instead of Group NPI",tblEnrollment[[#This Row],[Blocker Reason]] ="Credentialed NPI mismatch",tblEnrollment[[#This Row],[Blocker Reason]] ="Incorrect PTAN/Provider number"),"Yes","No")</f>
        <v>No</v>
      </c>
      <c r="AD71" s="4" t="str">
        <f>IF(OR(tblEnrollment[[#This Row],[Blocker Reason]] ="Wrong Payer ID",tblEnrollment[[#This Row],[Blocker Reason]] ="Old Payer ID used"),"Yes","No")</f>
        <v>No</v>
      </c>
      <c r="AE71" s="4" t="str">
        <f>IF(OR(tblEnrollment[[#This Row],[Clearinghouse Portal Updated]]="No",tblEnrollment[[#This Row],[Blocker Reason]] ="Clearinghouse portal not updated"),"Yes","No")</f>
        <v>Yes</v>
      </c>
      <c r="AF7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7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Status]]="Completed",AB71="NPI Match"),"Ready","Not Ready"),"Not Applicable")</f>
        <v>Not Ready</v>
      </c>
      <c r="AH71" s="4" t="str">
        <f>IF(OR(tblEnrollment[[#This Row],[Enrollment Type]]="ERA",tblEnrollment[[#This Row],[Enrollment Type]]="Claims and ERA"),IF(AND(tblEnrollment[[#This Row],[Credentialing Status]]="Completed",tblEnrollment[[#This Row],[ERA Enrollment Status]]="Approved",tblEnrollment[[#This Row],[Clearinghouse Configuration Status]]="Completed",AB71="NPI Match"),"Ready","Not Ready"),"Not Applicable")</f>
        <v>Not Ready</v>
      </c>
      <c r="AI71" s="4" t="str">
        <f>IF(tblEnrollment[[#This Row],[Blocker Reason]] ="No Blocker","No","Yes")</f>
        <v>Yes</v>
      </c>
    </row>
    <row r="72" spans="1:35" ht="29">
      <c r="A72" s="35" t="s">
        <v>623</v>
      </c>
      <c r="B72" s="35" t="s">
        <v>68</v>
      </c>
      <c r="C72" s="35" t="s">
        <v>624</v>
      </c>
      <c r="D72" s="35" t="s">
        <v>625</v>
      </c>
      <c r="E72" s="35" t="s">
        <v>101</v>
      </c>
      <c r="F72" s="35" t="s">
        <v>101</v>
      </c>
      <c r="G72" s="35" t="s">
        <v>101</v>
      </c>
      <c r="H72" s="35" t="s">
        <v>128</v>
      </c>
      <c r="I72" s="35" t="s">
        <v>51</v>
      </c>
      <c r="J72" s="35" t="s">
        <v>52</v>
      </c>
      <c r="K72" s="35" t="s">
        <v>53</v>
      </c>
      <c r="L72" s="35" t="s">
        <v>54</v>
      </c>
      <c r="M72" s="35" t="s">
        <v>55</v>
      </c>
      <c r="N72" s="35" t="s">
        <v>137</v>
      </c>
      <c r="O72" s="35" t="s">
        <v>57</v>
      </c>
      <c r="P72" s="35" t="s">
        <v>139</v>
      </c>
      <c r="Q72" s="35" t="s">
        <v>58</v>
      </c>
      <c r="R72" s="35" t="s">
        <v>57</v>
      </c>
      <c r="S72" s="36">
        <v>46117</v>
      </c>
      <c r="T72" s="36"/>
      <c r="U72" s="35" t="s">
        <v>56</v>
      </c>
      <c r="V72" s="35" t="s">
        <v>147</v>
      </c>
      <c r="W72" s="35" t="s">
        <v>338</v>
      </c>
      <c r="X72" s="36">
        <v>46177</v>
      </c>
      <c r="Y72" s="35" t="s">
        <v>406</v>
      </c>
      <c r="Z72" s="4">
        <f>IF(tblEnrollment[[#This Row],[Approved Date]]="",DATE(2026,6,3)-tblEnrollment[[#This Row],[Submitted Date]],tblEnrollment[[#This Row],[Approved Date]]-tblEnrollment[[#This Row],[Submitted Date]])</f>
        <v>59</v>
      </c>
      <c r="AA72" s="4" t="str">
        <f>IF(tblEnrollment[[#This Row],[Current Status]] ="Ready","Completed",IF(Z72&gt;21,"SLA Breached","Within SLA"))</f>
        <v>SLA Breached</v>
      </c>
      <c r="AB72" s="4" t="str">
        <f>IF(tblEnrollment[[#This Row],[Credentialed NPI]] =tblEnrollment[[#This Row],[Enrolled NPI]],"NPI Match","NPI Mismatch")</f>
        <v>NPI Match</v>
      </c>
      <c r="AC72" s="4" t="str">
        <f>IF(OR(tblEnrollment[[#This Row],[Blocker Reason]] ="Individual NPI used instead of Group NPI",tblEnrollment[[#This Row],[Blocker Reason]] ="Credentialed NPI mismatch",tblEnrollment[[#This Row],[Blocker Reason]] ="Incorrect PTAN/Provider number"),"Yes","No")</f>
        <v>No</v>
      </c>
      <c r="AD72" s="4" t="str">
        <f>IF(OR(tblEnrollment[[#This Row],[Blocker Reason]] ="Wrong Payer ID",tblEnrollment[[#This Row],[Blocker Reason]] ="Old Payer ID used"),"Yes","No")</f>
        <v>No</v>
      </c>
      <c r="AE72" s="4" t="str">
        <f>IF(OR(tblEnrollment[[#This Row],[Clearinghouse Portal Updated]]="No",tblEnrollment[[#This Row],[Blocker Reason]] ="Clearinghouse portal not updated"),"Yes","No")</f>
        <v>Yes</v>
      </c>
      <c r="AF7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7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Status]]="Completed",AB72="NPI Match"),"Ready","Not Ready"),"Not Applicable")</f>
        <v>Not Ready</v>
      </c>
      <c r="AH72" s="4" t="str">
        <f>IF(OR(tblEnrollment[[#This Row],[Enrollment Type]]="ERA",tblEnrollment[[#This Row],[Enrollment Type]]="Claims and ERA"),IF(AND(tblEnrollment[[#This Row],[Credentialing Status]]="Completed",tblEnrollment[[#This Row],[ERA Enrollment Status]]="Approved",tblEnrollment[[#This Row],[Clearinghouse Configuration Status]]="Completed",AB72="NPI Match"),"Ready","Not Ready"),"Not Applicable")</f>
        <v>Not Applicable</v>
      </c>
      <c r="AI72" s="4" t="str">
        <f>IF(tblEnrollment[[#This Row],[Blocker Reason]] ="No Blocker","No","Yes")</f>
        <v>Yes</v>
      </c>
    </row>
    <row r="73" spans="1:35" ht="29">
      <c r="A73" s="35" t="s">
        <v>626</v>
      </c>
      <c r="B73" s="35" t="s">
        <v>63</v>
      </c>
      <c r="C73" s="35" t="s">
        <v>627</v>
      </c>
      <c r="D73" s="35" t="s">
        <v>628</v>
      </c>
      <c r="E73" s="35" t="s">
        <v>529</v>
      </c>
      <c r="F73" s="35" t="s">
        <v>529</v>
      </c>
      <c r="G73" s="35" t="s">
        <v>529</v>
      </c>
      <c r="H73" s="35" t="s">
        <v>117</v>
      </c>
      <c r="I73" s="35" t="s">
        <v>51</v>
      </c>
      <c r="J73" s="35" t="s">
        <v>52</v>
      </c>
      <c r="K73" s="35" t="s">
        <v>53</v>
      </c>
      <c r="L73" s="35" t="s">
        <v>54</v>
      </c>
      <c r="M73" s="35" t="s">
        <v>45</v>
      </c>
      <c r="N73" s="35" t="s">
        <v>46</v>
      </c>
      <c r="O73" s="35" t="s">
        <v>47</v>
      </c>
      <c r="P73" s="35" t="s">
        <v>56</v>
      </c>
      <c r="Q73" s="35" t="s">
        <v>48</v>
      </c>
      <c r="R73" s="35" t="s">
        <v>137</v>
      </c>
      <c r="S73" s="36">
        <v>46171</v>
      </c>
      <c r="T73" s="36"/>
      <c r="U73" s="35" t="s">
        <v>56</v>
      </c>
      <c r="V73" s="35" t="s">
        <v>364</v>
      </c>
      <c r="W73" s="35" t="s">
        <v>441</v>
      </c>
      <c r="X73" s="36">
        <v>46185</v>
      </c>
      <c r="Y73" s="35" t="s">
        <v>366</v>
      </c>
      <c r="Z73" s="4">
        <f>IF(tblEnrollment[[#This Row],[Approved Date]]="",DATE(2026,6,3)-tblEnrollment[[#This Row],[Submitted Date]],tblEnrollment[[#This Row],[Approved Date]]-tblEnrollment[[#This Row],[Submitted Date]])</f>
        <v>5</v>
      </c>
      <c r="AA73" s="4" t="str">
        <f>IF(tblEnrollment[[#This Row],[Current Status]] ="Ready","Completed",IF(Z73&gt;21,"SLA Breached","Within SLA"))</f>
        <v>Within SLA</v>
      </c>
      <c r="AB73" s="4" t="str">
        <f>IF(tblEnrollment[[#This Row],[Credentialed NPI]] =tblEnrollment[[#This Row],[Enrolled NPI]],"NPI Match","NPI Mismatch")</f>
        <v>NPI Match</v>
      </c>
      <c r="AC73" s="4" t="str">
        <f>IF(OR(tblEnrollment[[#This Row],[Blocker Reason]] ="Individual NPI used instead of Group NPI",tblEnrollment[[#This Row],[Blocker Reason]] ="Credentialed NPI mismatch",tblEnrollment[[#This Row],[Blocker Reason]] ="Incorrect PTAN/Provider number"),"Yes","No")</f>
        <v>No</v>
      </c>
      <c r="AD73" s="4" t="str">
        <f>IF(OR(tblEnrollment[[#This Row],[Blocker Reason]] ="Wrong Payer ID",tblEnrollment[[#This Row],[Blocker Reason]] ="Old Payer ID used"),"Yes","No")</f>
        <v>No</v>
      </c>
      <c r="AE73" s="4" t="str">
        <f>IF(OR(tblEnrollment[[#This Row],[Clearinghouse Portal Updated]]="No",tblEnrollment[[#This Row],[Blocker Reason]] ="Clearinghouse portal not updated"),"Yes","No")</f>
        <v>No</v>
      </c>
      <c r="AF7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7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Status]]="Completed",AB73="NPI Match"),"Ready","Not Ready"),"Not Applicable")</f>
        <v>Not Ready</v>
      </c>
      <c r="AH73" s="4" t="str">
        <f>IF(OR(tblEnrollment[[#This Row],[Enrollment Type]]="ERA",tblEnrollment[[#This Row],[Enrollment Type]]="Claims and ERA"),IF(AND(tblEnrollment[[#This Row],[Credentialing Status]]="Completed",tblEnrollment[[#This Row],[ERA Enrollment Status]]="Approved",tblEnrollment[[#This Row],[Clearinghouse Configuration Status]]="Completed",AB73="NPI Match"),"Ready","Not Ready"),"Not Applicable")</f>
        <v>Not Ready</v>
      </c>
      <c r="AI73" s="4" t="str">
        <f>IF(tblEnrollment[[#This Row],[Blocker Reason]] ="No Blocker","No","Yes")</f>
        <v>Yes</v>
      </c>
    </row>
    <row r="74" spans="1:35" ht="29">
      <c r="A74" s="35" t="s">
        <v>629</v>
      </c>
      <c r="B74" s="35" t="s">
        <v>403</v>
      </c>
      <c r="C74" s="35" t="s">
        <v>630</v>
      </c>
      <c r="D74" s="35" t="s">
        <v>631</v>
      </c>
      <c r="E74" s="35" t="s">
        <v>96</v>
      </c>
      <c r="F74" s="35" t="s">
        <v>96</v>
      </c>
      <c r="G74" s="35" t="s">
        <v>96</v>
      </c>
      <c r="H74" s="35" t="s">
        <v>619</v>
      </c>
      <c r="I74" s="35" t="s">
        <v>51</v>
      </c>
      <c r="J74" s="35" t="s">
        <v>52</v>
      </c>
      <c r="K74" s="35" t="s">
        <v>53</v>
      </c>
      <c r="L74" s="35" t="s">
        <v>54</v>
      </c>
      <c r="M74" s="35" t="s">
        <v>55</v>
      </c>
      <c r="N74" s="35" t="s">
        <v>46</v>
      </c>
      <c r="O74" s="35" t="s">
        <v>47</v>
      </c>
      <c r="P74" s="35" t="s">
        <v>139</v>
      </c>
      <c r="Q74" s="35" t="s">
        <v>48</v>
      </c>
      <c r="R74" s="35" t="s">
        <v>46</v>
      </c>
      <c r="S74" s="36">
        <v>46173</v>
      </c>
      <c r="T74" s="36">
        <v>46174</v>
      </c>
      <c r="U74" s="35" t="s">
        <v>49</v>
      </c>
      <c r="V74" s="35" t="s">
        <v>348</v>
      </c>
      <c r="W74" s="35" t="s">
        <v>330</v>
      </c>
      <c r="X74" s="36">
        <v>46176</v>
      </c>
      <c r="Y74" s="35" t="s">
        <v>350</v>
      </c>
      <c r="Z74" s="4">
        <f>IF(tblEnrollment[[#This Row],[Approved Date]]="",DATE(2026,6,3)-tblEnrollment[[#This Row],[Submitted Date]],tblEnrollment[[#This Row],[Approved Date]]-tblEnrollment[[#This Row],[Submitted Date]])</f>
        <v>1</v>
      </c>
      <c r="AA74" s="4" t="str">
        <f>IF(tblEnrollment[[#This Row],[Current Status]] ="Ready","Completed",IF(Z74&gt;21,"SLA Breached","Within SLA"))</f>
        <v>Completed</v>
      </c>
      <c r="AB74" s="4" t="str">
        <f>IF(tblEnrollment[[#This Row],[Credentialed NPI]] =tblEnrollment[[#This Row],[Enrolled NPI]],"NPI Match","NPI Mismatch")</f>
        <v>NPI Match</v>
      </c>
      <c r="AC74" s="4" t="str">
        <f>IF(OR(tblEnrollment[[#This Row],[Blocker Reason]] ="Individual NPI used instead of Group NPI",tblEnrollment[[#This Row],[Blocker Reason]] ="Credentialed NPI mismatch",tblEnrollment[[#This Row],[Blocker Reason]] ="Incorrect PTAN/Provider number"),"Yes","No")</f>
        <v>No</v>
      </c>
      <c r="AD74" s="4" t="str">
        <f>IF(OR(tblEnrollment[[#This Row],[Blocker Reason]] ="Wrong Payer ID",tblEnrollment[[#This Row],[Blocker Reason]] ="Old Payer ID used"),"Yes","No")</f>
        <v>No</v>
      </c>
      <c r="AE74" s="4" t="str">
        <f>IF(OR(tblEnrollment[[#This Row],[Clearinghouse Portal Updated]]="No",tblEnrollment[[#This Row],[Blocker Reason]] ="Clearinghouse portal not updated"),"Yes","No")</f>
        <v>No</v>
      </c>
      <c r="AF7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7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Status]]="Completed",AB74="NPI Match"),"Ready","Not Ready"),"Not Applicable")</f>
        <v>Ready</v>
      </c>
      <c r="AH74" s="4" t="str">
        <f>IF(OR(tblEnrollment[[#This Row],[Enrollment Type]]="ERA",tblEnrollment[[#This Row],[Enrollment Type]]="Claims and ERA"),IF(AND(tblEnrollment[[#This Row],[Credentialing Status]]="Completed",tblEnrollment[[#This Row],[ERA Enrollment Status]]="Approved",tblEnrollment[[#This Row],[Clearinghouse Configuration Status]]="Completed",AB74="NPI Match"),"Ready","Not Ready"),"Not Applicable")</f>
        <v>Not Applicable</v>
      </c>
      <c r="AI74" s="4" t="str">
        <f>IF(tblEnrollment[[#This Row],[Blocker Reason]] ="No Blocker","No","Yes")</f>
        <v>No</v>
      </c>
    </row>
    <row r="75" spans="1:35" ht="29">
      <c r="A75" s="35" t="s">
        <v>632</v>
      </c>
      <c r="B75" s="35" t="s">
        <v>78</v>
      </c>
      <c r="C75" s="35" t="s">
        <v>633</v>
      </c>
      <c r="D75" s="35" t="s">
        <v>634</v>
      </c>
      <c r="E75" s="35" t="s">
        <v>381</v>
      </c>
      <c r="F75" s="35" t="s">
        <v>381</v>
      </c>
      <c r="G75" s="35" t="s">
        <v>381</v>
      </c>
      <c r="H75" s="35" t="s">
        <v>128</v>
      </c>
      <c r="I75" s="35" t="s">
        <v>43</v>
      </c>
      <c r="J75" s="35" t="s">
        <v>357</v>
      </c>
      <c r="K75" s="35" t="s">
        <v>44</v>
      </c>
      <c r="L75" s="35" t="s">
        <v>135</v>
      </c>
      <c r="M75" s="35" t="s">
        <v>45</v>
      </c>
      <c r="N75" s="35" t="s">
        <v>46</v>
      </c>
      <c r="O75" s="35" t="s">
        <v>138</v>
      </c>
      <c r="P75" s="35" t="s">
        <v>138</v>
      </c>
      <c r="Q75" s="35" t="s">
        <v>48</v>
      </c>
      <c r="R75" s="35" t="s">
        <v>140</v>
      </c>
      <c r="S75" s="36">
        <v>46159</v>
      </c>
      <c r="T75" s="36"/>
      <c r="U75" s="35" t="s">
        <v>141</v>
      </c>
      <c r="V75" s="35" t="s">
        <v>377</v>
      </c>
      <c r="W75" s="35" t="s">
        <v>441</v>
      </c>
      <c r="X75" s="36">
        <v>46183</v>
      </c>
      <c r="Y75" s="35" t="s">
        <v>378</v>
      </c>
      <c r="Z75" s="4">
        <f>IF(tblEnrollment[[#This Row],[Approved Date]]="",DATE(2026,6,3)-tblEnrollment[[#This Row],[Submitted Date]],tblEnrollment[[#This Row],[Approved Date]]-tblEnrollment[[#This Row],[Submitted Date]])</f>
        <v>17</v>
      </c>
      <c r="AA75" s="4" t="str">
        <f>IF(tblEnrollment[[#This Row],[Current Status]] ="Ready","Completed",IF(Z75&gt;21,"SLA Breached","Within SLA"))</f>
        <v>Within SLA</v>
      </c>
      <c r="AB75" s="4" t="str">
        <f>IF(tblEnrollment[[#This Row],[Credentialed NPI]] =tblEnrollment[[#This Row],[Enrolled NPI]],"NPI Match","NPI Mismatch")</f>
        <v>NPI Match</v>
      </c>
      <c r="AC75" s="4" t="str">
        <f>IF(OR(tblEnrollment[[#This Row],[Blocker Reason]] ="Individual NPI used instead of Group NPI",tblEnrollment[[#This Row],[Blocker Reason]] ="Credentialed NPI mismatch",tblEnrollment[[#This Row],[Blocker Reason]] ="Incorrect PTAN/Provider number"),"Yes","No")</f>
        <v>Yes</v>
      </c>
      <c r="AD75" s="4" t="str">
        <f>IF(OR(tblEnrollment[[#This Row],[Blocker Reason]] ="Wrong Payer ID",tblEnrollment[[#This Row],[Blocker Reason]] ="Old Payer ID used"),"Yes","No")</f>
        <v>No</v>
      </c>
      <c r="AE75" s="4" t="str">
        <f>IF(OR(tblEnrollment[[#This Row],[Clearinghouse Portal Updated]]="No",tblEnrollment[[#This Row],[Blocker Reason]] ="Clearinghouse portal not updated"),"Yes","No")</f>
        <v>No</v>
      </c>
      <c r="AF7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Yes</v>
      </c>
      <c r="AG7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Status]]="Completed",AB75="NPI Match"),"Ready","Not Ready"),"Not Applicable")</f>
        <v>Not Ready</v>
      </c>
      <c r="AH75" s="4" t="str">
        <f>IF(OR(tblEnrollment[[#This Row],[Enrollment Type]]="ERA",tblEnrollment[[#This Row],[Enrollment Type]]="Claims and ERA"),IF(AND(tblEnrollment[[#This Row],[Credentialing Status]]="Completed",tblEnrollment[[#This Row],[ERA Enrollment Status]]="Approved",tblEnrollment[[#This Row],[Clearinghouse Configuration Status]]="Completed",AB75="NPI Match"),"Ready","Not Ready"),"Not Applicable")</f>
        <v>Not Ready</v>
      </c>
      <c r="AI75" s="4" t="str">
        <f>IF(tblEnrollment[[#This Row],[Blocker Reason]] ="No Blocker","No","Yes")</f>
        <v>Yes</v>
      </c>
    </row>
    <row r="76" spans="1:35" ht="29">
      <c r="A76" s="35" t="s">
        <v>635</v>
      </c>
      <c r="B76" s="35" t="s">
        <v>59</v>
      </c>
      <c r="C76" s="35" t="s">
        <v>636</v>
      </c>
      <c r="D76" s="35" t="s">
        <v>637</v>
      </c>
      <c r="E76" s="35" t="s">
        <v>529</v>
      </c>
      <c r="F76" s="35" t="s">
        <v>529</v>
      </c>
      <c r="G76" s="35" t="s">
        <v>637</v>
      </c>
      <c r="H76" s="35" t="s">
        <v>124</v>
      </c>
      <c r="I76" s="35" t="s">
        <v>43</v>
      </c>
      <c r="J76" s="35" t="s">
        <v>357</v>
      </c>
      <c r="K76" s="35" t="s">
        <v>44</v>
      </c>
      <c r="L76" s="35" t="s">
        <v>638</v>
      </c>
      <c r="M76" s="35" t="s">
        <v>45</v>
      </c>
      <c r="N76" s="35" t="s">
        <v>46</v>
      </c>
      <c r="O76" s="35" t="s">
        <v>138</v>
      </c>
      <c r="P76" s="35" t="s">
        <v>138</v>
      </c>
      <c r="Q76" s="35" t="s">
        <v>48</v>
      </c>
      <c r="R76" s="35" t="s">
        <v>140</v>
      </c>
      <c r="S76" s="36">
        <v>46055</v>
      </c>
      <c r="T76" s="36"/>
      <c r="U76" s="35" t="s">
        <v>141</v>
      </c>
      <c r="V76" s="35" t="s">
        <v>412</v>
      </c>
      <c r="W76" s="35" t="s">
        <v>330</v>
      </c>
      <c r="X76" s="36">
        <v>46185</v>
      </c>
      <c r="Y76" s="35" t="s">
        <v>413</v>
      </c>
      <c r="Z76" s="4">
        <f>IF(tblEnrollment[[#This Row],[Approved Date]]="",DATE(2026,6,3)-tblEnrollment[[#This Row],[Submitted Date]],tblEnrollment[[#This Row],[Approved Date]]-tblEnrollment[[#This Row],[Submitted Date]])</f>
        <v>121</v>
      </c>
      <c r="AA76" s="4" t="str">
        <f>IF(tblEnrollment[[#This Row],[Current Status]] ="Ready","Completed",IF(Z76&gt;21,"SLA Breached","Within SLA"))</f>
        <v>SLA Breached</v>
      </c>
      <c r="AB76" s="4" t="str">
        <f>IF(tblEnrollment[[#This Row],[Credentialed NPI]] =tblEnrollment[[#This Row],[Enrolled NPI]],"NPI Match","NPI Mismatch")</f>
        <v>NPI Mismatch</v>
      </c>
      <c r="AC76" s="4" t="str">
        <f>IF(OR(tblEnrollment[[#This Row],[Blocker Reason]] ="Individual NPI used instead of Group NPI",tblEnrollment[[#This Row],[Blocker Reason]] ="Credentialed NPI mismatch",tblEnrollment[[#This Row],[Blocker Reason]] ="Incorrect PTAN/Provider number"),"Yes","No")</f>
        <v>Yes</v>
      </c>
      <c r="AD76" s="4" t="str">
        <f>IF(OR(tblEnrollment[[#This Row],[Blocker Reason]] ="Wrong Payer ID",tblEnrollment[[#This Row],[Blocker Reason]] ="Old Payer ID used"),"Yes","No")</f>
        <v>No</v>
      </c>
      <c r="AE76" s="4" t="str">
        <f>IF(OR(tblEnrollment[[#This Row],[Clearinghouse Portal Updated]]="No",tblEnrollment[[#This Row],[Blocker Reason]] ="Clearinghouse portal not updated"),"Yes","No")</f>
        <v>No</v>
      </c>
      <c r="AF7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7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Status]]="Completed",AB76="NPI Match"),"Ready","Not Ready"),"Not Applicable")</f>
        <v>Not Ready</v>
      </c>
      <c r="AH76" s="4" t="str">
        <f>IF(OR(tblEnrollment[[#This Row],[Enrollment Type]]="ERA",tblEnrollment[[#This Row],[Enrollment Type]]="Claims and ERA"),IF(AND(tblEnrollment[[#This Row],[Credentialing Status]]="Completed",tblEnrollment[[#This Row],[ERA Enrollment Status]]="Approved",tblEnrollment[[#This Row],[Clearinghouse Configuration Status]]="Completed",AB76="NPI Match"),"Ready","Not Ready"),"Not Applicable")</f>
        <v>Not Ready</v>
      </c>
      <c r="AI76" s="4" t="str">
        <f>IF(tblEnrollment[[#This Row],[Blocker Reason]] ="No Blocker","No","Yes")</f>
        <v>Yes</v>
      </c>
    </row>
    <row r="77" spans="1:35" ht="29">
      <c r="A77" s="35" t="s">
        <v>639</v>
      </c>
      <c r="B77" s="35" t="s">
        <v>62</v>
      </c>
      <c r="C77" s="35" t="s">
        <v>640</v>
      </c>
      <c r="D77" s="35" t="s">
        <v>641</v>
      </c>
      <c r="E77" s="35" t="s">
        <v>87</v>
      </c>
      <c r="F77" s="35" t="s">
        <v>87</v>
      </c>
      <c r="G77" s="35" t="s">
        <v>87</v>
      </c>
      <c r="H77" s="35" t="s">
        <v>525</v>
      </c>
      <c r="I77" s="35" t="s">
        <v>129</v>
      </c>
      <c r="J77" s="35" t="s">
        <v>327</v>
      </c>
      <c r="K77" s="35" t="s">
        <v>44</v>
      </c>
      <c r="L77" s="35" t="s">
        <v>642</v>
      </c>
      <c r="M77" s="35" t="s">
        <v>55</v>
      </c>
      <c r="N77" s="35" t="s">
        <v>46</v>
      </c>
      <c r="O77" s="35" t="s">
        <v>138</v>
      </c>
      <c r="P77" s="35" t="s">
        <v>139</v>
      </c>
      <c r="Q77" s="35" t="s">
        <v>48</v>
      </c>
      <c r="R77" s="35" t="s">
        <v>140</v>
      </c>
      <c r="S77" s="36">
        <v>46170</v>
      </c>
      <c r="T77" s="36"/>
      <c r="U77" s="35" t="s">
        <v>141</v>
      </c>
      <c r="V77" s="35" t="s">
        <v>435</v>
      </c>
      <c r="W77" s="35" t="s">
        <v>349</v>
      </c>
      <c r="X77" s="36">
        <v>46182</v>
      </c>
      <c r="Y77" s="35" t="s">
        <v>436</v>
      </c>
      <c r="Z77" s="4">
        <f>IF(tblEnrollment[[#This Row],[Approved Date]]="",DATE(2026,6,3)-tblEnrollment[[#This Row],[Submitted Date]],tblEnrollment[[#This Row],[Approved Date]]-tblEnrollment[[#This Row],[Submitted Date]])</f>
        <v>6</v>
      </c>
      <c r="AA77" s="4" t="str">
        <f>IF(tblEnrollment[[#This Row],[Current Status]] ="Ready","Completed",IF(Z77&gt;21,"SLA Breached","Within SLA"))</f>
        <v>Within SLA</v>
      </c>
      <c r="AB77" s="4" t="str">
        <f>IF(tblEnrollment[[#This Row],[Credentialed NPI]] =tblEnrollment[[#This Row],[Enrolled NPI]],"NPI Match","NPI Mismatch")</f>
        <v>NPI Match</v>
      </c>
      <c r="AC77" s="4" t="str">
        <f>IF(OR(tblEnrollment[[#This Row],[Blocker Reason]] ="Individual NPI used instead of Group NPI",tblEnrollment[[#This Row],[Blocker Reason]] ="Credentialed NPI mismatch",tblEnrollment[[#This Row],[Blocker Reason]] ="Incorrect PTAN/Provider number"),"Yes","No")</f>
        <v>No</v>
      </c>
      <c r="AD77" s="4" t="str">
        <f>IF(OR(tblEnrollment[[#This Row],[Blocker Reason]] ="Wrong Payer ID",tblEnrollment[[#This Row],[Blocker Reason]] ="Old Payer ID used"),"Yes","No")</f>
        <v>Yes</v>
      </c>
      <c r="AE77" s="4" t="str">
        <f>IF(OR(tblEnrollment[[#This Row],[Clearinghouse Portal Updated]]="No",tblEnrollment[[#This Row],[Blocker Reason]] ="Clearinghouse portal not updated"),"Yes","No")</f>
        <v>No</v>
      </c>
      <c r="AF7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7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Status]]="Completed",AB77="NPI Match"),"Ready","Not Ready"),"Not Applicable")</f>
        <v>Not Ready</v>
      </c>
      <c r="AH77" s="4" t="str">
        <f>IF(OR(tblEnrollment[[#This Row],[Enrollment Type]]="ERA",tblEnrollment[[#This Row],[Enrollment Type]]="Claims and ERA"),IF(AND(tblEnrollment[[#This Row],[Credentialing Status]]="Completed",tblEnrollment[[#This Row],[ERA Enrollment Status]]="Approved",tblEnrollment[[#This Row],[Clearinghouse Configuration Status]]="Completed",AB77="NPI Match"),"Ready","Not Ready"),"Not Applicable")</f>
        <v>Not Applicable</v>
      </c>
      <c r="AI77" s="4" t="str">
        <f>IF(tblEnrollment[[#This Row],[Blocker Reason]] ="No Blocker","No","Yes")</f>
        <v>Yes</v>
      </c>
    </row>
    <row r="78" spans="1:35" ht="29">
      <c r="A78" s="35" t="s">
        <v>643</v>
      </c>
      <c r="B78" s="35" t="s">
        <v>66</v>
      </c>
      <c r="C78" s="35" t="s">
        <v>644</v>
      </c>
      <c r="D78" s="35" t="s">
        <v>645</v>
      </c>
      <c r="E78" s="35" t="s">
        <v>101</v>
      </c>
      <c r="F78" s="35" t="s">
        <v>101</v>
      </c>
      <c r="G78" s="35" t="s">
        <v>646</v>
      </c>
      <c r="H78" s="35" t="s">
        <v>610</v>
      </c>
      <c r="I78" s="35" t="s">
        <v>346</v>
      </c>
      <c r="J78" s="35" t="s">
        <v>347</v>
      </c>
      <c r="K78" s="35" t="s">
        <v>53</v>
      </c>
      <c r="L78" s="35" t="s">
        <v>54</v>
      </c>
      <c r="M78" s="35" t="s">
        <v>45</v>
      </c>
      <c r="N78" s="35" t="s">
        <v>46</v>
      </c>
      <c r="O78" s="35" t="s">
        <v>138</v>
      </c>
      <c r="P78" s="35" t="s">
        <v>138</v>
      </c>
      <c r="Q78" s="35" t="s">
        <v>48</v>
      </c>
      <c r="R78" s="35" t="s">
        <v>140</v>
      </c>
      <c r="S78" s="36">
        <v>46090</v>
      </c>
      <c r="T78" s="36"/>
      <c r="U78" s="35" t="s">
        <v>141</v>
      </c>
      <c r="V78" s="35" t="s">
        <v>144</v>
      </c>
      <c r="W78" s="35" t="s">
        <v>365</v>
      </c>
      <c r="X78" s="36">
        <v>46186</v>
      </c>
      <c r="Y78" s="35" t="s">
        <v>389</v>
      </c>
      <c r="Z78" s="4">
        <f>IF(tblEnrollment[[#This Row],[Approved Date]]="",DATE(2026,6,3)-tblEnrollment[[#This Row],[Submitted Date]],tblEnrollment[[#This Row],[Approved Date]]-tblEnrollment[[#This Row],[Submitted Date]])</f>
        <v>86</v>
      </c>
      <c r="AA78" s="4" t="str">
        <f>IF(tblEnrollment[[#This Row],[Current Status]] ="Ready","Completed",IF(Z78&gt;21,"SLA Breached","Within SLA"))</f>
        <v>SLA Breached</v>
      </c>
      <c r="AB78" s="4" t="str">
        <f>IF(tblEnrollment[[#This Row],[Credentialed NPI]] =tblEnrollment[[#This Row],[Enrolled NPI]],"NPI Match","NPI Mismatch")</f>
        <v>NPI Mismatch</v>
      </c>
      <c r="AC78" s="4" t="str">
        <f>IF(OR(tblEnrollment[[#This Row],[Blocker Reason]] ="Individual NPI used instead of Group NPI",tblEnrollment[[#This Row],[Blocker Reason]] ="Credentialed NPI mismatch",tblEnrollment[[#This Row],[Blocker Reason]] ="Incorrect PTAN/Provider number"),"Yes","No")</f>
        <v>Yes</v>
      </c>
      <c r="AD78" s="4" t="str">
        <f>IF(OR(tblEnrollment[[#This Row],[Blocker Reason]] ="Wrong Payer ID",tblEnrollment[[#This Row],[Blocker Reason]] ="Old Payer ID used"),"Yes","No")</f>
        <v>No</v>
      </c>
      <c r="AE78" s="4" t="str">
        <f>IF(OR(tblEnrollment[[#This Row],[Clearinghouse Portal Updated]]="No",tblEnrollment[[#This Row],[Blocker Reason]] ="Clearinghouse portal not updated"),"Yes","No")</f>
        <v>No</v>
      </c>
      <c r="AF7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7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Status]]="Completed",AB78="NPI Match"),"Ready","Not Ready"),"Not Applicable")</f>
        <v>Not Ready</v>
      </c>
      <c r="AH78" s="4" t="str">
        <f>IF(OR(tblEnrollment[[#This Row],[Enrollment Type]]="ERA",tblEnrollment[[#This Row],[Enrollment Type]]="Claims and ERA"),IF(AND(tblEnrollment[[#This Row],[Credentialing Status]]="Completed",tblEnrollment[[#This Row],[ERA Enrollment Status]]="Approved",tblEnrollment[[#This Row],[Clearinghouse Configuration Status]]="Completed",AB78="NPI Match"),"Ready","Not Ready"),"Not Applicable")</f>
        <v>Not Ready</v>
      </c>
      <c r="AI78" s="4" t="str">
        <f>IF(tblEnrollment[[#This Row],[Blocker Reason]] ="No Blocker","No","Yes")</f>
        <v>Yes</v>
      </c>
    </row>
    <row r="79" spans="1:35" ht="29">
      <c r="A79" s="35" t="s">
        <v>647</v>
      </c>
      <c r="B79" s="35" t="s">
        <v>77</v>
      </c>
      <c r="C79" s="35" t="s">
        <v>80</v>
      </c>
      <c r="D79" s="35" t="s">
        <v>648</v>
      </c>
      <c r="E79" s="35" t="s">
        <v>97</v>
      </c>
      <c r="F79" s="35" t="s">
        <v>97</v>
      </c>
      <c r="G79" s="35" t="s">
        <v>97</v>
      </c>
      <c r="H79" s="35" t="s">
        <v>649</v>
      </c>
      <c r="I79" s="35" t="s">
        <v>129</v>
      </c>
      <c r="J79" s="35" t="s">
        <v>134</v>
      </c>
      <c r="K79" s="35" t="s">
        <v>44</v>
      </c>
      <c r="L79" s="35" t="s">
        <v>650</v>
      </c>
      <c r="M79" s="35" t="s">
        <v>45</v>
      </c>
      <c r="N79" s="35" t="s">
        <v>46</v>
      </c>
      <c r="O79" s="35" t="s">
        <v>47</v>
      </c>
      <c r="P79" s="35" t="s">
        <v>47</v>
      </c>
      <c r="Q79" s="35" t="s">
        <v>48</v>
      </c>
      <c r="R79" s="35" t="s">
        <v>46</v>
      </c>
      <c r="S79" s="36">
        <v>46141</v>
      </c>
      <c r="T79" s="36">
        <v>46155</v>
      </c>
      <c r="U79" s="35" t="s">
        <v>49</v>
      </c>
      <c r="V79" s="35" t="s">
        <v>348</v>
      </c>
      <c r="W79" s="35" t="s">
        <v>338</v>
      </c>
      <c r="X79" s="36">
        <v>46187</v>
      </c>
      <c r="Y79" s="35" t="s">
        <v>350</v>
      </c>
      <c r="Z79" s="4">
        <f>IF(tblEnrollment[[#This Row],[Approved Date]]="",DATE(2026,6,3)-tblEnrollment[[#This Row],[Submitted Date]],tblEnrollment[[#This Row],[Approved Date]]-tblEnrollment[[#This Row],[Submitted Date]])</f>
        <v>14</v>
      </c>
      <c r="AA79" s="4" t="str">
        <f>IF(tblEnrollment[[#This Row],[Current Status]] ="Ready","Completed",IF(Z79&gt;21,"SLA Breached","Within SLA"))</f>
        <v>Completed</v>
      </c>
      <c r="AB79" s="4" t="str">
        <f>IF(tblEnrollment[[#This Row],[Credentialed NPI]] =tblEnrollment[[#This Row],[Enrolled NPI]],"NPI Match","NPI Mismatch")</f>
        <v>NPI Match</v>
      </c>
      <c r="AC79" s="4" t="str">
        <f>IF(OR(tblEnrollment[[#This Row],[Blocker Reason]] ="Individual NPI used instead of Group NPI",tblEnrollment[[#This Row],[Blocker Reason]] ="Credentialed NPI mismatch",tblEnrollment[[#This Row],[Blocker Reason]] ="Incorrect PTAN/Provider number"),"Yes","No")</f>
        <v>No</v>
      </c>
      <c r="AD79" s="4" t="str">
        <f>IF(OR(tblEnrollment[[#This Row],[Blocker Reason]] ="Wrong Payer ID",tblEnrollment[[#This Row],[Blocker Reason]] ="Old Payer ID used"),"Yes","No")</f>
        <v>No</v>
      </c>
      <c r="AE79" s="4" t="str">
        <f>IF(OR(tblEnrollment[[#This Row],[Clearinghouse Portal Updated]]="No",tblEnrollment[[#This Row],[Blocker Reason]] ="Clearinghouse portal not updated"),"Yes","No")</f>
        <v>No</v>
      </c>
      <c r="AF7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7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Status]]="Completed",AB79="NPI Match"),"Ready","Not Ready"),"Not Applicable")</f>
        <v>Ready</v>
      </c>
      <c r="AH79" s="4" t="str">
        <f>IF(OR(tblEnrollment[[#This Row],[Enrollment Type]]="ERA",tblEnrollment[[#This Row],[Enrollment Type]]="Claims and ERA"),IF(AND(tblEnrollment[[#This Row],[Credentialing Status]]="Completed",tblEnrollment[[#This Row],[ERA Enrollment Status]]="Approved",tblEnrollment[[#This Row],[Clearinghouse Configuration Status]]="Completed",AB79="NPI Match"),"Ready","Not Ready"),"Not Applicable")</f>
        <v>Ready</v>
      </c>
      <c r="AI79" s="4" t="str">
        <f>IF(tblEnrollment[[#This Row],[Blocker Reason]] ="No Blocker","No","Yes")</f>
        <v>No</v>
      </c>
    </row>
    <row r="80" spans="1:35" ht="29">
      <c r="A80" s="35" t="s">
        <v>651</v>
      </c>
      <c r="B80" s="35" t="s">
        <v>66</v>
      </c>
      <c r="C80" s="35" t="s">
        <v>652</v>
      </c>
      <c r="D80" s="35" t="s">
        <v>653</v>
      </c>
      <c r="E80" s="35" t="s">
        <v>100</v>
      </c>
      <c r="F80" s="35" t="s">
        <v>100</v>
      </c>
      <c r="G80" s="35" t="s">
        <v>100</v>
      </c>
      <c r="H80" s="35" t="s">
        <v>610</v>
      </c>
      <c r="I80" s="35" t="s">
        <v>131</v>
      </c>
      <c r="J80" s="35" t="s">
        <v>342</v>
      </c>
      <c r="K80" s="35" t="s">
        <v>53</v>
      </c>
      <c r="L80" s="35" t="s">
        <v>54</v>
      </c>
      <c r="M80" s="35" t="s">
        <v>136</v>
      </c>
      <c r="N80" s="35" t="s">
        <v>46</v>
      </c>
      <c r="O80" s="35" t="s">
        <v>139</v>
      </c>
      <c r="P80" s="35" t="s">
        <v>56</v>
      </c>
      <c r="Q80" s="35" t="s">
        <v>48</v>
      </c>
      <c r="R80" s="35" t="s">
        <v>137</v>
      </c>
      <c r="S80" s="36">
        <v>46055</v>
      </c>
      <c r="T80" s="36"/>
      <c r="U80" s="35" t="s">
        <v>56</v>
      </c>
      <c r="V80" s="35" t="s">
        <v>148</v>
      </c>
      <c r="W80" s="35" t="s">
        <v>365</v>
      </c>
      <c r="X80" s="36">
        <v>46186</v>
      </c>
      <c r="Y80" s="35" t="s">
        <v>359</v>
      </c>
      <c r="Z80" s="4">
        <f>IF(tblEnrollment[[#This Row],[Approved Date]]="",DATE(2026,6,3)-tblEnrollment[[#This Row],[Submitted Date]],tblEnrollment[[#This Row],[Approved Date]]-tblEnrollment[[#This Row],[Submitted Date]])</f>
        <v>121</v>
      </c>
      <c r="AA80" s="4" t="str">
        <f>IF(tblEnrollment[[#This Row],[Current Status]] ="Ready","Completed",IF(Z80&gt;21,"SLA Breached","Within SLA"))</f>
        <v>SLA Breached</v>
      </c>
      <c r="AB80" s="4" t="str">
        <f>IF(tblEnrollment[[#This Row],[Credentialed NPI]] =tblEnrollment[[#This Row],[Enrolled NPI]],"NPI Match","NPI Mismatch")</f>
        <v>NPI Match</v>
      </c>
      <c r="AC80" s="4" t="str">
        <f>IF(OR(tblEnrollment[[#This Row],[Blocker Reason]] ="Individual NPI used instead of Group NPI",tblEnrollment[[#This Row],[Blocker Reason]] ="Credentialed NPI mismatch",tblEnrollment[[#This Row],[Blocker Reason]] ="Incorrect PTAN/Provider number"),"Yes","No")</f>
        <v>No</v>
      </c>
      <c r="AD80" s="4" t="str">
        <f>IF(OR(tblEnrollment[[#This Row],[Blocker Reason]] ="Wrong Payer ID",tblEnrollment[[#This Row],[Blocker Reason]] ="Old Payer ID used"),"Yes","No")</f>
        <v>No</v>
      </c>
      <c r="AE80" s="4" t="str">
        <f>IF(OR(tblEnrollment[[#This Row],[Clearinghouse Portal Updated]]="No",tblEnrollment[[#This Row],[Blocker Reason]] ="Clearinghouse portal not updated"),"Yes","No")</f>
        <v>No</v>
      </c>
      <c r="AF8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8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Status]]="Completed",AB80="NPI Match"),"Ready","Not Ready"),"Not Applicable")</f>
        <v>Not Applicable</v>
      </c>
      <c r="AH80" s="4" t="str">
        <f>IF(OR(tblEnrollment[[#This Row],[Enrollment Type]]="ERA",tblEnrollment[[#This Row],[Enrollment Type]]="Claims and ERA"),IF(AND(tblEnrollment[[#This Row],[Credentialing Status]]="Completed",tblEnrollment[[#This Row],[ERA Enrollment Status]]="Approved",tblEnrollment[[#This Row],[Clearinghouse Configuration Status]]="Completed",AB80="NPI Match"),"Ready","Not Ready"),"Not Applicable")</f>
        <v>Not Ready</v>
      </c>
      <c r="AI80" s="4" t="str">
        <f>IF(tblEnrollment[[#This Row],[Blocker Reason]] ="No Blocker","No","Yes")</f>
        <v>Yes</v>
      </c>
    </row>
    <row r="81" spans="1:35" ht="29">
      <c r="A81" s="35" t="s">
        <v>654</v>
      </c>
      <c r="B81" s="35" t="s">
        <v>340</v>
      </c>
      <c r="C81" s="35" t="s">
        <v>655</v>
      </c>
      <c r="D81" s="35" t="s">
        <v>656</v>
      </c>
      <c r="E81" s="35" t="s">
        <v>94</v>
      </c>
      <c r="F81" s="35" t="s">
        <v>94</v>
      </c>
      <c r="G81" s="35" t="s">
        <v>94</v>
      </c>
      <c r="H81" s="35" t="s">
        <v>112</v>
      </c>
      <c r="I81" s="35" t="s">
        <v>130</v>
      </c>
      <c r="J81" s="35" t="s">
        <v>393</v>
      </c>
      <c r="K81" s="35" t="s">
        <v>53</v>
      </c>
      <c r="L81" s="35" t="s">
        <v>54</v>
      </c>
      <c r="M81" s="35" t="s">
        <v>55</v>
      </c>
      <c r="N81" s="35" t="s">
        <v>46</v>
      </c>
      <c r="O81" s="35" t="s">
        <v>47</v>
      </c>
      <c r="P81" s="35" t="s">
        <v>139</v>
      </c>
      <c r="Q81" s="35" t="s">
        <v>48</v>
      </c>
      <c r="R81" s="35" t="s">
        <v>46</v>
      </c>
      <c r="S81" s="36">
        <v>46075</v>
      </c>
      <c r="T81" s="36">
        <v>46086</v>
      </c>
      <c r="U81" s="35" t="s">
        <v>49</v>
      </c>
      <c r="V81" s="35" t="s">
        <v>348</v>
      </c>
      <c r="W81" s="35" t="s">
        <v>330</v>
      </c>
      <c r="X81" s="36">
        <v>46178</v>
      </c>
      <c r="Y81" s="35" t="s">
        <v>350</v>
      </c>
      <c r="Z81" s="4">
        <f>IF(tblEnrollment[[#This Row],[Approved Date]]="",DATE(2026,6,3)-tblEnrollment[[#This Row],[Submitted Date]],tblEnrollment[[#This Row],[Approved Date]]-tblEnrollment[[#This Row],[Submitted Date]])</f>
        <v>11</v>
      </c>
      <c r="AA81" s="4" t="str">
        <f>IF(tblEnrollment[[#This Row],[Current Status]] ="Ready","Completed",IF(Z81&gt;21,"SLA Breached","Within SLA"))</f>
        <v>Completed</v>
      </c>
      <c r="AB81" s="4" t="str">
        <f>IF(tblEnrollment[[#This Row],[Credentialed NPI]] =tblEnrollment[[#This Row],[Enrolled NPI]],"NPI Match","NPI Mismatch")</f>
        <v>NPI Match</v>
      </c>
      <c r="AC81" s="4" t="str">
        <f>IF(OR(tblEnrollment[[#This Row],[Blocker Reason]] ="Individual NPI used instead of Group NPI",tblEnrollment[[#This Row],[Blocker Reason]] ="Credentialed NPI mismatch",tblEnrollment[[#This Row],[Blocker Reason]] ="Incorrect PTAN/Provider number"),"Yes","No")</f>
        <v>No</v>
      </c>
      <c r="AD81" s="4" t="str">
        <f>IF(OR(tblEnrollment[[#This Row],[Blocker Reason]] ="Wrong Payer ID",tblEnrollment[[#This Row],[Blocker Reason]] ="Old Payer ID used"),"Yes","No")</f>
        <v>No</v>
      </c>
      <c r="AE81" s="4" t="str">
        <f>IF(OR(tblEnrollment[[#This Row],[Clearinghouse Portal Updated]]="No",tblEnrollment[[#This Row],[Blocker Reason]] ="Clearinghouse portal not updated"),"Yes","No")</f>
        <v>No</v>
      </c>
      <c r="AF8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8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Status]]="Completed",AB81="NPI Match"),"Ready","Not Ready"),"Not Applicable")</f>
        <v>Ready</v>
      </c>
      <c r="AH81" s="4" t="str">
        <f>IF(OR(tblEnrollment[[#This Row],[Enrollment Type]]="ERA",tblEnrollment[[#This Row],[Enrollment Type]]="Claims and ERA"),IF(AND(tblEnrollment[[#This Row],[Credentialing Status]]="Completed",tblEnrollment[[#This Row],[ERA Enrollment Status]]="Approved",tblEnrollment[[#This Row],[Clearinghouse Configuration Status]]="Completed",AB81="NPI Match"),"Ready","Not Ready"),"Not Applicable")</f>
        <v>Not Applicable</v>
      </c>
      <c r="AI81" s="4" t="str">
        <f>IF(tblEnrollment[[#This Row],[Blocker Reason]] ="No Blocker","No","Yes")</f>
        <v>No</v>
      </c>
    </row>
    <row r="82" spans="1:35" ht="29">
      <c r="A82" s="35" t="s">
        <v>657</v>
      </c>
      <c r="B82" s="35" t="s">
        <v>361</v>
      </c>
      <c r="C82" s="35" t="s">
        <v>82</v>
      </c>
      <c r="D82" s="35" t="s">
        <v>658</v>
      </c>
      <c r="E82" s="35" t="s">
        <v>422</v>
      </c>
      <c r="F82" s="35" t="s">
        <v>422</v>
      </c>
      <c r="G82" s="35" t="s">
        <v>658</v>
      </c>
      <c r="H82" s="35" t="s">
        <v>388</v>
      </c>
      <c r="I82" s="35" t="s">
        <v>51</v>
      </c>
      <c r="J82" s="35" t="s">
        <v>52</v>
      </c>
      <c r="K82" s="35" t="s">
        <v>53</v>
      </c>
      <c r="L82" s="35" t="s">
        <v>54</v>
      </c>
      <c r="M82" s="35" t="s">
        <v>136</v>
      </c>
      <c r="N82" s="35" t="s">
        <v>46</v>
      </c>
      <c r="O82" s="35" t="s">
        <v>139</v>
      </c>
      <c r="P82" s="35" t="s">
        <v>138</v>
      </c>
      <c r="Q82" s="35" t="s">
        <v>48</v>
      </c>
      <c r="R82" s="35" t="s">
        <v>140</v>
      </c>
      <c r="S82" s="36">
        <v>46114</v>
      </c>
      <c r="T82" s="36"/>
      <c r="U82" s="35" t="s">
        <v>141</v>
      </c>
      <c r="V82" s="35" t="s">
        <v>412</v>
      </c>
      <c r="W82" s="35" t="s">
        <v>349</v>
      </c>
      <c r="X82" s="36">
        <v>46187</v>
      </c>
      <c r="Y82" s="35" t="s">
        <v>413</v>
      </c>
      <c r="Z82" s="4">
        <f>IF(tblEnrollment[[#This Row],[Approved Date]]="",DATE(2026,6,3)-tblEnrollment[[#This Row],[Submitted Date]],tblEnrollment[[#This Row],[Approved Date]]-tblEnrollment[[#This Row],[Submitted Date]])</f>
        <v>62</v>
      </c>
      <c r="AA82" s="4" t="str">
        <f>IF(tblEnrollment[[#This Row],[Current Status]] ="Ready","Completed",IF(Z82&gt;21,"SLA Breached","Within SLA"))</f>
        <v>SLA Breached</v>
      </c>
      <c r="AB82" s="4" t="str">
        <f>IF(tblEnrollment[[#This Row],[Credentialed NPI]] =tblEnrollment[[#This Row],[Enrolled NPI]],"NPI Match","NPI Mismatch")</f>
        <v>NPI Mismatch</v>
      </c>
      <c r="AC82" s="4" t="str">
        <f>IF(OR(tblEnrollment[[#This Row],[Blocker Reason]] ="Individual NPI used instead of Group NPI",tblEnrollment[[#This Row],[Blocker Reason]] ="Credentialed NPI mismatch",tblEnrollment[[#This Row],[Blocker Reason]] ="Incorrect PTAN/Provider number"),"Yes","No")</f>
        <v>Yes</v>
      </c>
      <c r="AD82" s="4" t="str">
        <f>IF(OR(tblEnrollment[[#This Row],[Blocker Reason]] ="Wrong Payer ID",tblEnrollment[[#This Row],[Blocker Reason]] ="Old Payer ID used"),"Yes","No")</f>
        <v>No</v>
      </c>
      <c r="AE82" s="4" t="str">
        <f>IF(OR(tblEnrollment[[#This Row],[Clearinghouse Portal Updated]]="No",tblEnrollment[[#This Row],[Blocker Reason]] ="Clearinghouse portal not updated"),"Yes","No")</f>
        <v>No</v>
      </c>
      <c r="AF8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8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Status]]="Completed",AB82="NPI Match"),"Ready","Not Ready"),"Not Applicable")</f>
        <v>Not Applicable</v>
      </c>
      <c r="AH82" s="4" t="str">
        <f>IF(OR(tblEnrollment[[#This Row],[Enrollment Type]]="ERA",tblEnrollment[[#This Row],[Enrollment Type]]="Claims and ERA"),IF(AND(tblEnrollment[[#This Row],[Credentialing Status]]="Completed",tblEnrollment[[#This Row],[ERA Enrollment Status]]="Approved",tblEnrollment[[#This Row],[Clearinghouse Configuration Status]]="Completed",AB82="NPI Match"),"Ready","Not Ready"),"Not Applicable")</f>
        <v>Not Ready</v>
      </c>
      <c r="AI82" s="4" t="str">
        <f>IF(tblEnrollment[[#This Row],[Blocker Reason]] ="No Blocker","No","Yes")</f>
        <v>Yes</v>
      </c>
    </row>
    <row r="83" spans="1:35" ht="29">
      <c r="A83" s="35" t="s">
        <v>659</v>
      </c>
      <c r="B83" s="35" t="s">
        <v>72</v>
      </c>
      <c r="C83" s="35" t="s">
        <v>660</v>
      </c>
      <c r="D83" s="35" t="s">
        <v>661</v>
      </c>
      <c r="E83" s="35" t="s">
        <v>550</v>
      </c>
      <c r="F83" s="35" t="s">
        <v>550</v>
      </c>
      <c r="G83" s="35" t="s">
        <v>550</v>
      </c>
      <c r="H83" s="35" t="s">
        <v>108</v>
      </c>
      <c r="I83" s="35" t="s">
        <v>43</v>
      </c>
      <c r="J83" s="35" t="s">
        <v>357</v>
      </c>
      <c r="K83" s="35" t="s">
        <v>44</v>
      </c>
      <c r="L83" s="35" t="s">
        <v>662</v>
      </c>
      <c r="M83" s="35" t="s">
        <v>45</v>
      </c>
      <c r="N83" s="35" t="s">
        <v>46</v>
      </c>
      <c r="O83" s="35" t="s">
        <v>47</v>
      </c>
      <c r="P83" s="35" t="s">
        <v>56</v>
      </c>
      <c r="Q83" s="35" t="s">
        <v>48</v>
      </c>
      <c r="R83" s="35" t="s">
        <v>137</v>
      </c>
      <c r="S83" s="36">
        <v>46119</v>
      </c>
      <c r="T83" s="36"/>
      <c r="U83" s="35" t="s">
        <v>56</v>
      </c>
      <c r="V83" s="35" t="s">
        <v>364</v>
      </c>
      <c r="W83" s="35" t="s">
        <v>441</v>
      </c>
      <c r="X83" s="36">
        <v>46185</v>
      </c>
      <c r="Y83" s="35" t="s">
        <v>366</v>
      </c>
      <c r="Z83" s="4">
        <f>IF(tblEnrollment[[#This Row],[Approved Date]]="",DATE(2026,6,3)-tblEnrollment[[#This Row],[Submitted Date]],tblEnrollment[[#This Row],[Approved Date]]-tblEnrollment[[#This Row],[Submitted Date]])</f>
        <v>57</v>
      </c>
      <c r="AA83" s="4" t="str">
        <f>IF(tblEnrollment[[#This Row],[Current Status]] ="Ready","Completed",IF(Z83&gt;21,"SLA Breached","Within SLA"))</f>
        <v>SLA Breached</v>
      </c>
      <c r="AB83" s="4" t="str">
        <f>IF(tblEnrollment[[#This Row],[Credentialed NPI]] =tblEnrollment[[#This Row],[Enrolled NPI]],"NPI Match","NPI Mismatch")</f>
        <v>NPI Match</v>
      </c>
      <c r="AC83" s="4" t="str">
        <f>IF(OR(tblEnrollment[[#This Row],[Blocker Reason]] ="Individual NPI used instead of Group NPI",tblEnrollment[[#This Row],[Blocker Reason]] ="Credentialed NPI mismatch",tblEnrollment[[#This Row],[Blocker Reason]] ="Incorrect PTAN/Provider number"),"Yes","No")</f>
        <v>No</v>
      </c>
      <c r="AD83" s="4" t="str">
        <f>IF(OR(tblEnrollment[[#This Row],[Blocker Reason]] ="Wrong Payer ID",tblEnrollment[[#This Row],[Blocker Reason]] ="Old Payer ID used"),"Yes","No")</f>
        <v>No</v>
      </c>
      <c r="AE83" s="4" t="str">
        <f>IF(OR(tblEnrollment[[#This Row],[Clearinghouse Portal Updated]]="No",tblEnrollment[[#This Row],[Blocker Reason]] ="Clearinghouse portal not updated"),"Yes","No")</f>
        <v>No</v>
      </c>
      <c r="AF8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8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Status]]="Completed",AB83="NPI Match"),"Ready","Not Ready"),"Not Applicable")</f>
        <v>Not Ready</v>
      </c>
      <c r="AH83" s="4" t="str">
        <f>IF(OR(tblEnrollment[[#This Row],[Enrollment Type]]="ERA",tblEnrollment[[#This Row],[Enrollment Type]]="Claims and ERA"),IF(AND(tblEnrollment[[#This Row],[Credentialing Status]]="Completed",tblEnrollment[[#This Row],[ERA Enrollment Status]]="Approved",tblEnrollment[[#This Row],[Clearinghouse Configuration Status]]="Completed",AB83="NPI Match"),"Ready","Not Ready"),"Not Applicable")</f>
        <v>Not Ready</v>
      </c>
      <c r="AI83" s="4" t="str">
        <f>IF(tblEnrollment[[#This Row],[Blocker Reason]] ="No Blocker","No","Yes")</f>
        <v>Yes</v>
      </c>
    </row>
    <row r="84" spans="1:35" ht="29">
      <c r="A84" s="35" t="s">
        <v>663</v>
      </c>
      <c r="B84" s="35" t="s">
        <v>60</v>
      </c>
      <c r="C84" s="35" t="s">
        <v>664</v>
      </c>
      <c r="D84" s="35" t="s">
        <v>665</v>
      </c>
      <c r="E84" s="35" t="s">
        <v>422</v>
      </c>
      <c r="F84" s="35" t="s">
        <v>422</v>
      </c>
      <c r="G84" s="35" t="s">
        <v>422</v>
      </c>
      <c r="H84" s="35" t="s">
        <v>127</v>
      </c>
      <c r="I84" s="35" t="s">
        <v>346</v>
      </c>
      <c r="J84" s="35" t="s">
        <v>347</v>
      </c>
      <c r="K84" s="35" t="s">
        <v>53</v>
      </c>
      <c r="L84" s="35" t="s">
        <v>54</v>
      </c>
      <c r="M84" s="35" t="s">
        <v>45</v>
      </c>
      <c r="N84" s="35" t="s">
        <v>46</v>
      </c>
      <c r="O84" s="35" t="s">
        <v>47</v>
      </c>
      <c r="P84" s="35" t="s">
        <v>56</v>
      </c>
      <c r="Q84" s="35" t="s">
        <v>48</v>
      </c>
      <c r="R84" s="35" t="s">
        <v>137</v>
      </c>
      <c r="S84" s="36">
        <v>46105</v>
      </c>
      <c r="T84" s="36"/>
      <c r="U84" s="35" t="s">
        <v>56</v>
      </c>
      <c r="V84" s="35" t="s">
        <v>364</v>
      </c>
      <c r="W84" s="35" t="s">
        <v>330</v>
      </c>
      <c r="X84" s="36">
        <v>46185</v>
      </c>
      <c r="Y84" s="35" t="s">
        <v>366</v>
      </c>
      <c r="Z84" s="4">
        <f>IF(tblEnrollment[[#This Row],[Approved Date]]="",DATE(2026,6,3)-tblEnrollment[[#This Row],[Submitted Date]],tblEnrollment[[#This Row],[Approved Date]]-tblEnrollment[[#This Row],[Submitted Date]])</f>
        <v>71</v>
      </c>
      <c r="AA84" s="4" t="str">
        <f>IF(tblEnrollment[[#This Row],[Current Status]] ="Ready","Completed",IF(Z84&gt;21,"SLA Breached","Within SLA"))</f>
        <v>SLA Breached</v>
      </c>
      <c r="AB84" s="4" t="str">
        <f>IF(tblEnrollment[[#This Row],[Credentialed NPI]] =tblEnrollment[[#This Row],[Enrolled NPI]],"NPI Match","NPI Mismatch")</f>
        <v>NPI Match</v>
      </c>
      <c r="AC84" s="4" t="str">
        <f>IF(OR(tblEnrollment[[#This Row],[Blocker Reason]] ="Individual NPI used instead of Group NPI",tblEnrollment[[#This Row],[Blocker Reason]] ="Credentialed NPI mismatch",tblEnrollment[[#This Row],[Blocker Reason]] ="Incorrect PTAN/Provider number"),"Yes","No")</f>
        <v>No</v>
      </c>
      <c r="AD84" s="4" t="str">
        <f>IF(OR(tblEnrollment[[#This Row],[Blocker Reason]] ="Wrong Payer ID",tblEnrollment[[#This Row],[Blocker Reason]] ="Old Payer ID used"),"Yes","No")</f>
        <v>No</v>
      </c>
      <c r="AE84" s="4" t="str">
        <f>IF(OR(tblEnrollment[[#This Row],[Clearinghouse Portal Updated]]="No",tblEnrollment[[#This Row],[Blocker Reason]] ="Clearinghouse portal not updated"),"Yes","No")</f>
        <v>No</v>
      </c>
      <c r="AF8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8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Status]]="Completed",AB84="NPI Match"),"Ready","Not Ready"),"Not Applicable")</f>
        <v>Not Ready</v>
      </c>
      <c r="AH84" s="4" t="str">
        <f>IF(OR(tblEnrollment[[#This Row],[Enrollment Type]]="ERA",tblEnrollment[[#This Row],[Enrollment Type]]="Claims and ERA"),IF(AND(tblEnrollment[[#This Row],[Credentialing Status]]="Completed",tblEnrollment[[#This Row],[ERA Enrollment Status]]="Approved",tblEnrollment[[#This Row],[Clearinghouse Configuration Status]]="Completed",AB84="NPI Match"),"Ready","Not Ready"),"Not Applicable")</f>
        <v>Not Ready</v>
      </c>
      <c r="AI84" s="4" t="str">
        <f>IF(tblEnrollment[[#This Row],[Blocker Reason]] ="No Blocker","No","Yes")</f>
        <v>Yes</v>
      </c>
    </row>
    <row r="85" spans="1:35" ht="29">
      <c r="A85" s="35" t="s">
        <v>666</v>
      </c>
      <c r="B85" s="35" t="s">
        <v>71</v>
      </c>
      <c r="C85" s="35" t="s">
        <v>667</v>
      </c>
      <c r="D85" s="35" t="s">
        <v>668</v>
      </c>
      <c r="E85" s="35" t="s">
        <v>550</v>
      </c>
      <c r="F85" s="35" t="s">
        <v>550</v>
      </c>
      <c r="G85" s="35" t="s">
        <v>669</v>
      </c>
      <c r="H85" s="35" t="s">
        <v>670</v>
      </c>
      <c r="I85" s="35" t="s">
        <v>51</v>
      </c>
      <c r="J85" s="35" t="s">
        <v>52</v>
      </c>
      <c r="K85" s="35" t="s">
        <v>53</v>
      </c>
      <c r="L85" s="35" t="s">
        <v>54</v>
      </c>
      <c r="M85" s="35" t="s">
        <v>55</v>
      </c>
      <c r="N85" s="35" t="s">
        <v>46</v>
      </c>
      <c r="O85" s="35" t="s">
        <v>138</v>
      </c>
      <c r="P85" s="35" t="s">
        <v>139</v>
      </c>
      <c r="Q85" s="35" t="s">
        <v>48</v>
      </c>
      <c r="R85" s="35" t="s">
        <v>140</v>
      </c>
      <c r="S85" s="36">
        <v>46162</v>
      </c>
      <c r="T85" s="36"/>
      <c r="U85" s="35" t="s">
        <v>141</v>
      </c>
      <c r="V85" s="35" t="s">
        <v>144</v>
      </c>
      <c r="W85" s="35" t="s">
        <v>349</v>
      </c>
      <c r="X85" s="36">
        <v>46177</v>
      </c>
      <c r="Y85" s="35" t="s">
        <v>389</v>
      </c>
      <c r="Z85" s="4">
        <f>IF(tblEnrollment[[#This Row],[Approved Date]]="",DATE(2026,6,3)-tblEnrollment[[#This Row],[Submitted Date]],tblEnrollment[[#This Row],[Approved Date]]-tblEnrollment[[#This Row],[Submitted Date]])</f>
        <v>14</v>
      </c>
      <c r="AA85" s="4" t="str">
        <f>IF(tblEnrollment[[#This Row],[Current Status]] ="Ready","Completed",IF(Z85&gt;21,"SLA Breached","Within SLA"))</f>
        <v>Within SLA</v>
      </c>
      <c r="AB85" s="4" t="str">
        <f>IF(tblEnrollment[[#This Row],[Credentialed NPI]] =tblEnrollment[[#This Row],[Enrolled NPI]],"NPI Match","NPI Mismatch")</f>
        <v>NPI Mismatch</v>
      </c>
      <c r="AC85" s="4" t="str">
        <f>IF(OR(tblEnrollment[[#This Row],[Blocker Reason]] ="Individual NPI used instead of Group NPI",tblEnrollment[[#This Row],[Blocker Reason]] ="Credentialed NPI mismatch",tblEnrollment[[#This Row],[Blocker Reason]] ="Incorrect PTAN/Provider number"),"Yes","No")</f>
        <v>Yes</v>
      </c>
      <c r="AD85" s="4" t="str">
        <f>IF(OR(tblEnrollment[[#This Row],[Blocker Reason]] ="Wrong Payer ID",tblEnrollment[[#This Row],[Blocker Reason]] ="Old Payer ID used"),"Yes","No")</f>
        <v>No</v>
      </c>
      <c r="AE85" s="4" t="str">
        <f>IF(OR(tblEnrollment[[#This Row],[Clearinghouse Portal Updated]]="No",tblEnrollment[[#This Row],[Blocker Reason]] ="Clearinghouse portal not updated"),"Yes","No")</f>
        <v>No</v>
      </c>
      <c r="AF8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8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Status]]="Completed",AB85="NPI Match"),"Ready","Not Ready"),"Not Applicable")</f>
        <v>Not Ready</v>
      </c>
      <c r="AH85" s="4" t="str">
        <f>IF(OR(tblEnrollment[[#This Row],[Enrollment Type]]="ERA",tblEnrollment[[#This Row],[Enrollment Type]]="Claims and ERA"),IF(AND(tblEnrollment[[#This Row],[Credentialing Status]]="Completed",tblEnrollment[[#This Row],[ERA Enrollment Status]]="Approved",tblEnrollment[[#This Row],[Clearinghouse Configuration Status]]="Completed",AB85="NPI Match"),"Ready","Not Ready"),"Not Applicable")</f>
        <v>Not Applicable</v>
      </c>
      <c r="AI85" s="4" t="str">
        <f>IF(tblEnrollment[[#This Row],[Blocker Reason]] ="No Blocker","No","Yes")</f>
        <v>Yes</v>
      </c>
    </row>
    <row r="86" spans="1:35" ht="29">
      <c r="A86" s="35" t="s">
        <v>671</v>
      </c>
      <c r="B86" s="35" t="s">
        <v>513</v>
      </c>
      <c r="C86" s="35" t="s">
        <v>672</v>
      </c>
      <c r="D86" s="35" t="s">
        <v>673</v>
      </c>
      <c r="E86" s="35" t="s">
        <v>456</v>
      </c>
      <c r="F86" s="35" t="s">
        <v>456</v>
      </c>
      <c r="G86" s="35" t="s">
        <v>456</v>
      </c>
      <c r="H86" s="35" t="s">
        <v>109</v>
      </c>
      <c r="I86" s="35" t="s">
        <v>43</v>
      </c>
      <c r="J86" s="35" t="s">
        <v>357</v>
      </c>
      <c r="K86" s="35" t="s">
        <v>44</v>
      </c>
      <c r="L86" s="35" t="s">
        <v>674</v>
      </c>
      <c r="M86" s="35" t="s">
        <v>45</v>
      </c>
      <c r="N86" s="35" t="s">
        <v>46</v>
      </c>
      <c r="O86" s="35" t="s">
        <v>47</v>
      </c>
      <c r="P86" s="35" t="s">
        <v>56</v>
      </c>
      <c r="Q86" s="35" t="s">
        <v>58</v>
      </c>
      <c r="R86" s="35" t="s">
        <v>56</v>
      </c>
      <c r="S86" s="36">
        <v>46163</v>
      </c>
      <c r="T86" s="36"/>
      <c r="U86" s="35" t="s">
        <v>56</v>
      </c>
      <c r="V86" s="35" t="s">
        <v>143</v>
      </c>
      <c r="W86" s="35" t="s">
        <v>349</v>
      </c>
      <c r="X86" s="36">
        <v>46180</v>
      </c>
      <c r="Y86" s="35" t="s">
        <v>343</v>
      </c>
      <c r="Z86" s="4">
        <f>IF(tblEnrollment[[#This Row],[Approved Date]]="",DATE(2026,6,3)-tblEnrollment[[#This Row],[Submitted Date]],tblEnrollment[[#This Row],[Approved Date]]-tblEnrollment[[#This Row],[Submitted Date]])</f>
        <v>13</v>
      </c>
      <c r="AA86" s="4" t="str">
        <f>IF(tblEnrollment[[#This Row],[Current Status]] ="Ready","Completed",IF(Z86&gt;21,"SLA Breached","Within SLA"))</f>
        <v>Within SLA</v>
      </c>
      <c r="AB86" s="4" t="str">
        <f>IF(tblEnrollment[[#This Row],[Credentialed NPI]] =tblEnrollment[[#This Row],[Enrolled NPI]],"NPI Match","NPI Mismatch")</f>
        <v>NPI Match</v>
      </c>
      <c r="AC86" s="4" t="str">
        <f>IF(OR(tblEnrollment[[#This Row],[Blocker Reason]] ="Individual NPI used instead of Group NPI",tblEnrollment[[#This Row],[Blocker Reason]] ="Credentialed NPI mismatch",tblEnrollment[[#This Row],[Blocker Reason]] ="Incorrect PTAN/Provider number"),"Yes","No")</f>
        <v>No</v>
      </c>
      <c r="AD86" s="4" t="str">
        <f>IF(OR(tblEnrollment[[#This Row],[Blocker Reason]] ="Wrong Payer ID",tblEnrollment[[#This Row],[Blocker Reason]] ="Old Payer ID used"),"Yes","No")</f>
        <v>No</v>
      </c>
      <c r="AE86" s="4" t="str">
        <f>IF(OR(tblEnrollment[[#This Row],[Clearinghouse Portal Updated]]="No",tblEnrollment[[#This Row],[Blocker Reason]] ="Clearinghouse portal not updated"),"Yes","No")</f>
        <v>Yes</v>
      </c>
      <c r="AF8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8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Status]]="Completed",AB86="NPI Match"),"Ready","Not Ready"),"Not Applicable")</f>
        <v>Not Ready</v>
      </c>
      <c r="AH86" s="4" t="str">
        <f>IF(OR(tblEnrollment[[#This Row],[Enrollment Type]]="ERA",tblEnrollment[[#This Row],[Enrollment Type]]="Claims and ERA"),IF(AND(tblEnrollment[[#This Row],[Credentialing Status]]="Completed",tblEnrollment[[#This Row],[ERA Enrollment Status]]="Approved",tblEnrollment[[#This Row],[Clearinghouse Configuration Status]]="Completed",AB86="NPI Match"),"Ready","Not Ready"),"Not Applicable")</f>
        <v>Not Ready</v>
      </c>
      <c r="AI86" s="4" t="str">
        <f>IF(tblEnrollment[[#This Row],[Blocker Reason]] ="No Blocker","No","Yes")</f>
        <v>Yes</v>
      </c>
    </row>
    <row r="87" spans="1:35" ht="29">
      <c r="A87" s="35" t="s">
        <v>675</v>
      </c>
      <c r="B87" s="35" t="s">
        <v>70</v>
      </c>
      <c r="C87" s="35" t="s">
        <v>676</v>
      </c>
      <c r="D87" s="35" t="s">
        <v>677</v>
      </c>
      <c r="E87" s="35" t="s">
        <v>98</v>
      </c>
      <c r="F87" s="35" t="s">
        <v>98</v>
      </c>
      <c r="G87" s="35" t="s">
        <v>98</v>
      </c>
      <c r="H87" s="35" t="s">
        <v>111</v>
      </c>
      <c r="I87" s="35" t="s">
        <v>51</v>
      </c>
      <c r="J87" s="35" t="s">
        <v>611</v>
      </c>
      <c r="K87" s="35" t="s">
        <v>53</v>
      </c>
      <c r="L87" s="35" t="s">
        <v>54</v>
      </c>
      <c r="M87" s="35" t="s">
        <v>55</v>
      </c>
      <c r="N87" s="35" t="s">
        <v>46</v>
      </c>
      <c r="O87" s="35" t="s">
        <v>138</v>
      </c>
      <c r="P87" s="35" t="s">
        <v>139</v>
      </c>
      <c r="Q87" s="35" t="s">
        <v>48</v>
      </c>
      <c r="R87" s="35" t="s">
        <v>140</v>
      </c>
      <c r="S87" s="36">
        <v>46175</v>
      </c>
      <c r="T87" s="36"/>
      <c r="U87" s="35" t="s">
        <v>141</v>
      </c>
      <c r="V87" s="35" t="s">
        <v>329</v>
      </c>
      <c r="W87" s="35" t="s">
        <v>349</v>
      </c>
      <c r="X87" s="36">
        <v>46183</v>
      </c>
      <c r="Y87" s="35" t="s">
        <v>331</v>
      </c>
      <c r="Z87" s="4">
        <f>IF(tblEnrollment[[#This Row],[Approved Date]]="",DATE(2026,6,3)-tblEnrollment[[#This Row],[Submitted Date]],tblEnrollment[[#This Row],[Approved Date]]-tblEnrollment[[#This Row],[Submitted Date]])</f>
        <v>1</v>
      </c>
      <c r="AA87" s="4" t="str">
        <f>IF(tblEnrollment[[#This Row],[Current Status]] ="Ready","Completed",IF(Z87&gt;21,"SLA Breached","Within SLA"))</f>
        <v>Within SLA</v>
      </c>
      <c r="AB87" s="4" t="str">
        <f>IF(tblEnrollment[[#This Row],[Credentialed NPI]] =tblEnrollment[[#This Row],[Enrolled NPI]],"NPI Match","NPI Mismatch")</f>
        <v>NPI Match</v>
      </c>
      <c r="AC87" s="4" t="str">
        <f>IF(OR(tblEnrollment[[#This Row],[Blocker Reason]] ="Individual NPI used instead of Group NPI",tblEnrollment[[#This Row],[Blocker Reason]] ="Credentialed NPI mismatch",tblEnrollment[[#This Row],[Blocker Reason]] ="Incorrect PTAN/Provider number"),"Yes","No")</f>
        <v>No</v>
      </c>
      <c r="AD87" s="4" t="str">
        <f>IF(OR(tblEnrollment[[#This Row],[Blocker Reason]] ="Wrong Payer ID",tblEnrollment[[#This Row],[Blocker Reason]] ="Old Payer ID used"),"Yes","No")</f>
        <v>Yes</v>
      </c>
      <c r="AE87" s="4" t="str">
        <f>IF(OR(tblEnrollment[[#This Row],[Clearinghouse Portal Updated]]="No",tblEnrollment[[#This Row],[Blocker Reason]] ="Clearinghouse portal not updated"),"Yes","No")</f>
        <v>No</v>
      </c>
      <c r="AF8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8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Status]]="Completed",AB87="NPI Match"),"Ready","Not Ready"),"Not Applicable")</f>
        <v>Not Ready</v>
      </c>
      <c r="AH87" s="4" t="str">
        <f>IF(OR(tblEnrollment[[#This Row],[Enrollment Type]]="ERA",tblEnrollment[[#This Row],[Enrollment Type]]="Claims and ERA"),IF(AND(tblEnrollment[[#This Row],[Credentialing Status]]="Completed",tblEnrollment[[#This Row],[ERA Enrollment Status]]="Approved",tblEnrollment[[#This Row],[Clearinghouse Configuration Status]]="Completed",AB87="NPI Match"),"Ready","Not Ready"),"Not Applicable")</f>
        <v>Not Applicable</v>
      </c>
      <c r="AI87" s="4" t="str">
        <f>IF(tblEnrollment[[#This Row],[Blocker Reason]] ="No Blocker","No","Yes")</f>
        <v>Yes</v>
      </c>
    </row>
    <row r="88" spans="1:35" ht="29">
      <c r="A88" s="35" t="s">
        <v>678</v>
      </c>
      <c r="B88" s="35" t="s">
        <v>63</v>
      </c>
      <c r="C88" s="35" t="s">
        <v>679</v>
      </c>
      <c r="D88" s="35" t="s">
        <v>680</v>
      </c>
      <c r="E88" s="35" t="s">
        <v>681</v>
      </c>
      <c r="F88" s="35" t="s">
        <v>681</v>
      </c>
      <c r="G88" s="35" t="s">
        <v>680</v>
      </c>
      <c r="H88" s="35" t="s">
        <v>121</v>
      </c>
      <c r="I88" s="35" t="s">
        <v>132</v>
      </c>
      <c r="J88" s="35" t="s">
        <v>401</v>
      </c>
      <c r="K88" s="35" t="s">
        <v>53</v>
      </c>
      <c r="L88" s="35" t="s">
        <v>54</v>
      </c>
      <c r="M88" s="35" t="s">
        <v>45</v>
      </c>
      <c r="N88" s="35" t="s">
        <v>46</v>
      </c>
      <c r="O88" s="35" t="s">
        <v>138</v>
      </c>
      <c r="P88" s="35" t="s">
        <v>138</v>
      </c>
      <c r="Q88" s="35" t="s">
        <v>48</v>
      </c>
      <c r="R88" s="35" t="s">
        <v>140</v>
      </c>
      <c r="S88" s="36">
        <v>46050</v>
      </c>
      <c r="T88" s="36"/>
      <c r="U88" s="35" t="s">
        <v>141</v>
      </c>
      <c r="V88" s="35" t="s">
        <v>412</v>
      </c>
      <c r="W88" s="35" t="s">
        <v>441</v>
      </c>
      <c r="X88" s="36">
        <v>46179</v>
      </c>
      <c r="Y88" s="35" t="s">
        <v>413</v>
      </c>
      <c r="Z88" s="4">
        <f>IF(tblEnrollment[[#This Row],[Approved Date]]="",DATE(2026,6,3)-tblEnrollment[[#This Row],[Submitted Date]],tblEnrollment[[#This Row],[Approved Date]]-tblEnrollment[[#This Row],[Submitted Date]])</f>
        <v>126</v>
      </c>
      <c r="AA88" s="4" t="str">
        <f>IF(tblEnrollment[[#This Row],[Current Status]] ="Ready","Completed",IF(Z88&gt;21,"SLA Breached","Within SLA"))</f>
        <v>SLA Breached</v>
      </c>
      <c r="AB88" s="4" t="str">
        <f>IF(tblEnrollment[[#This Row],[Credentialed NPI]] =tblEnrollment[[#This Row],[Enrolled NPI]],"NPI Match","NPI Mismatch")</f>
        <v>NPI Mismatch</v>
      </c>
      <c r="AC88" s="4" t="str">
        <f>IF(OR(tblEnrollment[[#This Row],[Blocker Reason]] ="Individual NPI used instead of Group NPI",tblEnrollment[[#This Row],[Blocker Reason]] ="Credentialed NPI mismatch",tblEnrollment[[#This Row],[Blocker Reason]] ="Incorrect PTAN/Provider number"),"Yes","No")</f>
        <v>Yes</v>
      </c>
      <c r="AD88" s="4" t="str">
        <f>IF(OR(tblEnrollment[[#This Row],[Blocker Reason]] ="Wrong Payer ID",tblEnrollment[[#This Row],[Blocker Reason]] ="Old Payer ID used"),"Yes","No")</f>
        <v>No</v>
      </c>
      <c r="AE88" s="4" t="str">
        <f>IF(OR(tblEnrollment[[#This Row],[Clearinghouse Portal Updated]]="No",tblEnrollment[[#This Row],[Blocker Reason]] ="Clearinghouse portal not updated"),"Yes","No")</f>
        <v>No</v>
      </c>
      <c r="AF8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8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Status]]="Completed",AB88="NPI Match"),"Ready","Not Ready"),"Not Applicable")</f>
        <v>Not Ready</v>
      </c>
      <c r="AH88" s="4" t="str">
        <f>IF(OR(tblEnrollment[[#This Row],[Enrollment Type]]="ERA",tblEnrollment[[#This Row],[Enrollment Type]]="Claims and ERA"),IF(AND(tblEnrollment[[#This Row],[Credentialing Status]]="Completed",tblEnrollment[[#This Row],[ERA Enrollment Status]]="Approved",tblEnrollment[[#This Row],[Clearinghouse Configuration Status]]="Completed",AB88="NPI Match"),"Ready","Not Ready"),"Not Applicable")</f>
        <v>Not Ready</v>
      </c>
      <c r="AI88" s="4" t="str">
        <f>IF(tblEnrollment[[#This Row],[Blocker Reason]] ="No Blocker","No","Yes")</f>
        <v>Yes</v>
      </c>
    </row>
    <row r="89" spans="1:35" ht="29">
      <c r="A89" s="35" t="s">
        <v>682</v>
      </c>
      <c r="B89" s="35" t="s">
        <v>471</v>
      </c>
      <c r="C89" s="35" t="s">
        <v>683</v>
      </c>
      <c r="D89" s="35" t="s">
        <v>684</v>
      </c>
      <c r="E89" s="35" t="s">
        <v>409</v>
      </c>
      <c r="F89" s="35" t="s">
        <v>409</v>
      </c>
      <c r="G89" s="35" t="s">
        <v>409</v>
      </c>
      <c r="H89" s="35" t="s">
        <v>685</v>
      </c>
      <c r="I89" s="35" t="s">
        <v>130</v>
      </c>
      <c r="J89" s="35" t="s">
        <v>393</v>
      </c>
      <c r="K89" s="35" t="s">
        <v>53</v>
      </c>
      <c r="L89" s="35" t="s">
        <v>54</v>
      </c>
      <c r="M89" s="35" t="s">
        <v>55</v>
      </c>
      <c r="N89" s="35" t="s">
        <v>46</v>
      </c>
      <c r="O89" s="35" t="s">
        <v>47</v>
      </c>
      <c r="P89" s="35" t="s">
        <v>139</v>
      </c>
      <c r="Q89" s="35" t="s">
        <v>48</v>
      </c>
      <c r="R89" s="35" t="s">
        <v>137</v>
      </c>
      <c r="S89" s="36">
        <v>46098</v>
      </c>
      <c r="T89" s="36"/>
      <c r="U89" s="35" t="s">
        <v>56</v>
      </c>
      <c r="V89" s="35" t="s">
        <v>364</v>
      </c>
      <c r="W89" s="35" t="s">
        <v>365</v>
      </c>
      <c r="X89" s="36">
        <v>46187</v>
      </c>
      <c r="Y89" s="35" t="s">
        <v>366</v>
      </c>
      <c r="Z89" s="4">
        <f>IF(tblEnrollment[[#This Row],[Approved Date]]="",DATE(2026,6,3)-tblEnrollment[[#This Row],[Submitted Date]],tblEnrollment[[#This Row],[Approved Date]]-tblEnrollment[[#This Row],[Submitted Date]])</f>
        <v>78</v>
      </c>
      <c r="AA89" s="4" t="str">
        <f>IF(tblEnrollment[[#This Row],[Current Status]] ="Ready","Completed",IF(Z89&gt;21,"SLA Breached","Within SLA"))</f>
        <v>SLA Breached</v>
      </c>
      <c r="AB89" s="4" t="str">
        <f>IF(tblEnrollment[[#This Row],[Credentialed NPI]] =tblEnrollment[[#This Row],[Enrolled NPI]],"NPI Match","NPI Mismatch")</f>
        <v>NPI Match</v>
      </c>
      <c r="AC89" s="4" t="str">
        <f>IF(OR(tblEnrollment[[#This Row],[Blocker Reason]] ="Individual NPI used instead of Group NPI",tblEnrollment[[#This Row],[Blocker Reason]] ="Credentialed NPI mismatch",tblEnrollment[[#This Row],[Blocker Reason]] ="Incorrect PTAN/Provider number"),"Yes","No")</f>
        <v>No</v>
      </c>
      <c r="AD89" s="4" t="str">
        <f>IF(OR(tblEnrollment[[#This Row],[Blocker Reason]] ="Wrong Payer ID",tblEnrollment[[#This Row],[Blocker Reason]] ="Old Payer ID used"),"Yes","No")</f>
        <v>No</v>
      </c>
      <c r="AE89" s="4" t="str">
        <f>IF(OR(tblEnrollment[[#This Row],[Clearinghouse Portal Updated]]="No",tblEnrollment[[#This Row],[Blocker Reason]] ="Clearinghouse portal not updated"),"Yes","No")</f>
        <v>No</v>
      </c>
      <c r="AF8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8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Status]]="Completed",AB89="NPI Match"),"Ready","Not Ready"),"Not Applicable")</f>
        <v>Not Ready</v>
      </c>
      <c r="AH89" s="4" t="str">
        <f>IF(OR(tblEnrollment[[#This Row],[Enrollment Type]]="ERA",tblEnrollment[[#This Row],[Enrollment Type]]="Claims and ERA"),IF(AND(tblEnrollment[[#This Row],[Credentialing Status]]="Completed",tblEnrollment[[#This Row],[ERA Enrollment Status]]="Approved",tblEnrollment[[#This Row],[Clearinghouse Configuration Status]]="Completed",AB89="NPI Match"),"Ready","Not Ready"),"Not Applicable")</f>
        <v>Not Applicable</v>
      </c>
      <c r="AI89" s="4" t="str">
        <f>IF(tblEnrollment[[#This Row],[Blocker Reason]] ="No Blocker","No","Yes")</f>
        <v>Yes</v>
      </c>
    </row>
    <row r="90" spans="1:35" ht="29">
      <c r="A90" s="35" t="s">
        <v>686</v>
      </c>
      <c r="B90" s="35" t="s">
        <v>73</v>
      </c>
      <c r="C90" s="35" t="s">
        <v>687</v>
      </c>
      <c r="D90" s="35" t="s">
        <v>688</v>
      </c>
      <c r="E90" s="35" t="s">
        <v>560</v>
      </c>
      <c r="F90" s="35" t="s">
        <v>560</v>
      </c>
      <c r="G90" s="35" t="s">
        <v>560</v>
      </c>
      <c r="H90" s="35" t="s">
        <v>124</v>
      </c>
      <c r="I90" s="35" t="s">
        <v>43</v>
      </c>
      <c r="J90" s="35" t="s">
        <v>357</v>
      </c>
      <c r="K90" s="35" t="s">
        <v>44</v>
      </c>
      <c r="L90" s="35" t="s">
        <v>689</v>
      </c>
      <c r="M90" s="35" t="s">
        <v>55</v>
      </c>
      <c r="N90" s="35" t="s">
        <v>46</v>
      </c>
      <c r="O90" s="35" t="s">
        <v>56</v>
      </c>
      <c r="P90" s="35" t="s">
        <v>139</v>
      </c>
      <c r="Q90" s="35" t="s">
        <v>48</v>
      </c>
      <c r="R90" s="35" t="s">
        <v>137</v>
      </c>
      <c r="S90" s="36">
        <v>46066</v>
      </c>
      <c r="T90" s="36"/>
      <c r="U90" s="35" t="s">
        <v>56</v>
      </c>
      <c r="V90" s="35" t="s">
        <v>148</v>
      </c>
      <c r="W90" s="35" t="s">
        <v>330</v>
      </c>
      <c r="X90" s="36">
        <v>46183</v>
      </c>
      <c r="Y90" s="35" t="s">
        <v>359</v>
      </c>
      <c r="Z90" s="4">
        <f>IF(tblEnrollment[[#This Row],[Approved Date]]="",DATE(2026,6,3)-tblEnrollment[[#This Row],[Submitted Date]],tblEnrollment[[#This Row],[Approved Date]]-tblEnrollment[[#This Row],[Submitted Date]])</f>
        <v>110</v>
      </c>
      <c r="AA90" s="4" t="str">
        <f>IF(tblEnrollment[[#This Row],[Current Status]] ="Ready","Completed",IF(Z90&gt;21,"SLA Breached","Within SLA"))</f>
        <v>SLA Breached</v>
      </c>
      <c r="AB90" s="4" t="str">
        <f>IF(tblEnrollment[[#This Row],[Credentialed NPI]] =tblEnrollment[[#This Row],[Enrolled NPI]],"NPI Match","NPI Mismatch")</f>
        <v>NPI Match</v>
      </c>
      <c r="AC90" s="4" t="str">
        <f>IF(OR(tblEnrollment[[#This Row],[Blocker Reason]] ="Individual NPI used instead of Group NPI",tblEnrollment[[#This Row],[Blocker Reason]] ="Credentialed NPI mismatch",tblEnrollment[[#This Row],[Blocker Reason]] ="Incorrect PTAN/Provider number"),"Yes","No")</f>
        <v>No</v>
      </c>
      <c r="AD90" s="4" t="str">
        <f>IF(OR(tblEnrollment[[#This Row],[Blocker Reason]] ="Wrong Payer ID",tblEnrollment[[#This Row],[Blocker Reason]] ="Old Payer ID used"),"Yes","No")</f>
        <v>No</v>
      </c>
      <c r="AE90" s="4" t="str">
        <f>IF(OR(tblEnrollment[[#This Row],[Clearinghouse Portal Updated]]="No",tblEnrollment[[#This Row],[Blocker Reason]] ="Clearinghouse portal not updated"),"Yes","No")</f>
        <v>No</v>
      </c>
      <c r="AF9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9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Status]]="Completed",AB90="NPI Match"),"Ready","Not Ready"),"Not Applicable")</f>
        <v>Not Ready</v>
      </c>
      <c r="AH90" s="4" t="str">
        <f>IF(OR(tblEnrollment[[#This Row],[Enrollment Type]]="ERA",tblEnrollment[[#This Row],[Enrollment Type]]="Claims and ERA"),IF(AND(tblEnrollment[[#This Row],[Credentialing Status]]="Completed",tblEnrollment[[#This Row],[ERA Enrollment Status]]="Approved",tblEnrollment[[#This Row],[Clearinghouse Configuration Status]]="Completed",AB90="NPI Match"),"Ready","Not Ready"),"Not Applicable")</f>
        <v>Not Applicable</v>
      </c>
      <c r="AI90" s="4" t="str">
        <f>IF(tblEnrollment[[#This Row],[Blocker Reason]] ="No Blocker","No","Yes")</f>
        <v>Yes</v>
      </c>
    </row>
    <row r="91" spans="1:35" ht="29">
      <c r="A91" s="35" t="s">
        <v>690</v>
      </c>
      <c r="B91" s="35" t="s">
        <v>71</v>
      </c>
      <c r="C91" s="35" t="s">
        <v>691</v>
      </c>
      <c r="D91" s="35" t="s">
        <v>692</v>
      </c>
      <c r="E91" s="35" t="s">
        <v>99</v>
      </c>
      <c r="F91" s="35" t="s">
        <v>99</v>
      </c>
      <c r="G91" s="35" t="s">
        <v>99</v>
      </c>
      <c r="H91" s="35" t="s">
        <v>123</v>
      </c>
      <c r="I91" s="35" t="s">
        <v>130</v>
      </c>
      <c r="J91" s="35" t="s">
        <v>393</v>
      </c>
      <c r="K91" s="35" t="s">
        <v>53</v>
      </c>
      <c r="L91" s="35" t="s">
        <v>54</v>
      </c>
      <c r="M91" s="35" t="s">
        <v>45</v>
      </c>
      <c r="N91" s="35" t="s">
        <v>46</v>
      </c>
      <c r="O91" s="35" t="s">
        <v>47</v>
      </c>
      <c r="P91" s="35" t="s">
        <v>56</v>
      </c>
      <c r="Q91" s="35" t="s">
        <v>48</v>
      </c>
      <c r="R91" s="35" t="s">
        <v>137</v>
      </c>
      <c r="S91" s="36">
        <v>46099</v>
      </c>
      <c r="T91" s="36"/>
      <c r="U91" s="35" t="s">
        <v>56</v>
      </c>
      <c r="V91" s="35" t="s">
        <v>364</v>
      </c>
      <c r="W91" s="35" t="s">
        <v>338</v>
      </c>
      <c r="X91" s="36">
        <v>46183</v>
      </c>
      <c r="Y91" s="35" t="s">
        <v>366</v>
      </c>
      <c r="Z91" s="4">
        <f>IF(tblEnrollment[[#This Row],[Approved Date]]="",DATE(2026,6,3)-tblEnrollment[[#This Row],[Submitted Date]],tblEnrollment[[#This Row],[Approved Date]]-tblEnrollment[[#This Row],[Submitted Date]])</f>
        <v>77</v>
      </c>
      <c r="AA91" s="4" t="str">
        <f>IF(tblEnrollment[[#This Row],[Current Status]] ="Ready","Completed",IF(Z91&gt;21,"SLA Breached","Within SLA"))</f>
        <v>SLA Breached</v>
      </c>
      <c r="AB91" s="4" t="str">
        <f>IF(tblEnrollment[[#This Row],[Credentialed NPI]] =tblEnrollment[[#This Row],[Enrolled NPI]],"NPI Match","NPI Mismatch")</f>
        <v>NPI Match</v>
      </c>
      <c r="AC91" s="4" t="str">
        <f>IF(OR(tblEnrollment[[#This Row],[Blocker Reason]] ="Individual NPI used instead of Group NPI",tblEnrollment[[#This Row],[Blocker Reason]] ="Credentialed NPI mismatch",tblEnrollment[[#This Row],[Blocker Reason]] ="Incorrect PTAN/Provider number"),"Yes","No")</f>
        <v>No</v>
      </c>
      <c r="AD91" s="4" t="str">
        <f>IF(OR(tblEnrollment[[#This Row],[Blocker Reason]] ="Wrong Payer ID",tblEnrollment[[#This Row],[Blocker Reason]] ="Old Payer ID used"),"Yes","No")</f>
        <v>No</v>
      </c>
      <c r="AE91" s="4" t="str">
        <f>IF(OR(tblEnrollment[[#This Row],[Clearinghouse Portal Updated]]="No",tblEnrollment[[#This Row],[Blocker Reason]] ="Clearinghouse portal not updated"),"Yes","No")</f>
        <v>No</v>
      </c>
      <c r="AF9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9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Status]]="Completed",AB91="NPI Match"),"Ready","Not Ready"),"Not Applicable")</f>
        <v>Not Ready</v>
      </c>
      <c r="AH91" s="4" t="str">
        <f>IF(OR(tblEnrollment[[#This Row],[Enrollment Type]]="ERA",tblEnrollment[[#This Row],[Enrollment Type]]="Claims and ERA"),IF(AND(tblEnrollment[[#This Row],[Credentialing Status]]="Completed",tblEnrollment[[#This Row],[ERA Enrollment Status]]="Approved",tblEnrollment[[#This Row],[Clearinghouse Configuration Status]]="Completed",AB91="NPI Match"),"Ready","Not Ready"),"Not Applicable")</f>
        <v>Not Ready</v>
      </c>
      <c r="AI91" s="4" t="str">
        <f>IF(tblEnrollment[[#This Row],[Blocker Reason]] ="No Blocker","No","Yes")</f>
        <v>Yes</v>
      </c>
    </row>
    <row r="92" spans="1:35" ht="29">
      <c r="A92" s="35" t="s">
        <v>693</v>
      </c>
      <c r="B92" s="35" t="s">
        <v>69</v>
      </c>
      <c r="C92" s="35" t="s">
        <v>694</v>
      </c>
      <c r="D92" s="35" t="s">
        <v>695</v>
      </c>
      <c r="E92" s="35" t="s">
        <v>334</v>
      </c>
      <c r="F92" s="35" t="s">
        <v>334</v>
      </c>
      <c r="G92" s="35" t="s">
        <v>334</v>
      </c>
      <c r="H92" s="35" t="s">
        <v>696</v>
      </c>
      <c r="I92" s="35" t="s">
        <v>346</v>
      </c>
      <c r="J92" s="35" t="s">
        <v>347</v>
      </c>
      <c r="K92" s="35" t="s">
        <v>53</v>
      </c>
      <c r="L92" s="35" t="s">
        <v>54</v>
      </c>
      <c r="M92" s="35" t="s">
        <v>45</v>
      </c>
      <c r="N92" s="35" t="s">
        <v>46</v>
      </c>
      <c r="O92" s="35" t="s">
        <v>47</v>
      </c>
      <c r="P92" s="35" t="s">
        <v>47</v>
      </c>
      <c r="Q92" s="35" t="s">
        <v>48</v>
      </c>
      <c r="R92" s="35" t="s">
        <v>46</v>
      </c>
      <c r="S92" s="36">
        <v>46054</v>
      </c>
      <c r="T92" s="36">
        <v>46065</v>
      </c>
      <c r="U92" s="35" t="s">
        <v>49</v>
      </c>
      <c r="V92" s="35" t="s">
        <v>348</v>
      </c>
      <c r="W92" s="35" t="s">
        <v>441</v>
      </c>
      <c r="X92" s="36">
        <v>46182</v>
      </c>
      <c r="Y92" s="35" t="s">
        <v>350</v>
      </c>
      <c r="Z92" s="4">
        <f>IF(tblEnrollment[[#This Row],[Approved Date]]="",DATE(2026,6,3)-tblEnrollment[[#This Row],[Submitted Date]],tblEnrollment[[#This Row],[Approved Date]]-tblEnrollment[[#This Row],[Submitted Date]])</f>
        <v>11</v>
      </c>
      <c r="AA92" s="4" t="str">
        <f>IF(tblEnrollment[[#This Row],[Current Status]] ="Ready","Completed",IF(Z92&gt;21,"SLA Breached","Within SLA"))</f>
        <v>Completed</v>
      </c>
      <c r="AB92" s="4" t="str">
        <f>IF(tblEnrollment[[#This Row],[Credentialed NPI]] =tblEnrollment[[#This Row],[Enrolled NPI]],"NPI Match","NPI Mismatch")</f>
        <v>NPI Match</v>
      </c>
      <c r="AC92" s="4" t="str">
        <f>IF(OR(tblEnrollment[[#This Row],[Blocker Reason]] ="Individual NPI used instead of Group NPI",tblEnrollment[[#This Row],[Blocker Reason]] ="Credentialed NPI mismatch",tblEnrollment[[#This Row],[Blocker Reason]] ="Incorrect PTAN/Provider number"),"Yes","No")</f>
        <v>No</v>
      </c>
      <c r="AD92" s="4" t="str">
        <f>IF(OR(tblEnrollment[[#This Row],[Blocker Reason]] ="Wrong Payer ID",tblEnrollment[[#This Row],[Blocker Reason]] ="Old Payer ID used"),"Yes","No")</f>
        <v>No</v>
      </c>
      <c r="AE92" s="4" t="str">
        <f>IF(OR(tblEnrollment[[#This Row],[Clearinghouse Portal Updated]]="No",tblEnrollment[[#This Row],[Blocker Reason]] ="Clearinghouse portal not updated"),"Yes","No")</f>
        <v>No</v>
      </c>
      <c r="AF9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9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Status]]="Completed",AB92="NPI Match"),"Ready","Not Ready"),"Not Applicable")</f>
        <v>Ready</v>
      </c>
      <c r="AH92" s="4" t="str">
        <f>IF(OR(tblEnrollment[[#This Row],[Enrollment Type]]="ERA",tblEnrollment[[#This Row],[Enrollment Type]]="Claims and ERA"),IF(AND(tblEnrollment[[#This Row],[Credentialing Status]]="Completed",tblEnrollment[[#This Row],[ERA Enrollment Status]]="Approved",tblEnrollment[[#This Row],[Clearinghouse Configuration Status]]="Completed",AB92="NPI Match"),"Ready","Not Ready"),"Not Applicable")</f>
        <v>Ready</v>
      </c>
      <c r="AI92" s="4" t="str">
        <f>IF(tblEnrollment[[#This Row],[Blocker Reason]] ="No Blocker","No","Yes")</f>
        <v>No</v>
      </c>
    </row>
    <row r="93" spans="1:35" ht="29">
      <c r="A93" s="35" t="s">
        <v>697</v>
      </c>
      <c r="B93" s="35" t="s">
        <v>65</v>
      </c>
      <c r="C93" s="35" t="s">
        <v>698</v>
      </c>
      <c r="D93" s="35" t="s">
        <v>699</v>
      </c>
      <c r="E93" s="35" t="s">
        <v>101</v>
      </c>
      <c r="F93" s="35" t="s">
        <v>101</v>
      </c>
      <c r="G93" s="35" t="s">
        <v>101</v>
      </c>
      <c r="H93" s="35" t="s">
        <v>562</v>
      </c>
      <c r="I93" s="35" t="s">
        <v>132</v>
      </c>
      <c r="J93" s="35" t="s">
        <v>401</v>
      </c>
      <c r="K93" s="35" t="s">
        <v>53</v>
      </c>
      <c r="L93" s="35" t="s">
        <v>54</v>
      </c>
      <c r="M93" s="35" t="s">
        <v>45</v>
      </c>
      <c r="N93" s="35" t="s">
        <v>46</v>
      </c>
      <c r="O93" s="35" t="s">
        <v>47</v>
      </c>
      <c r="P93" s="35" t="s">
        <v>56</v>
      </c>
      <c r="Q93" s="35" t="s">
        <v>48</v>
      </c>
      <c r="R93" s="35" t="s">
        <v>137</v>
      </c>
      <c r="S93" s="36">
        <v>46162</v>
      </c>
      <c r="T93" s="36"/>
      <c r="U93" s="35" t="s">
        <v>56</v>
      </c>
      <c r="V93" s="35" t="s">
        <v>364</v>
      </c>
      <c r="W93" s="35" t="s">
        <v>349</v>
      </c>
      <c r="X93" s="36">
        <v>46178</v>
      </c>
      <c r="Y93" s="35" t="s">
        <v>366</v>
      </c>
      <c r="Z93" s="4">
        <f>IF(tblEnrollment[[#This Row],[Approved Date]]="",DATE(2026,6,3)-tblEnrollment[[#This Row],[Submitted Date]],tblEnrollment[[#This Row],[Approved Date]]-tblEnrollment[[#This Row],[Submitted Date]])</f>
        <v>14</v>
      </c>
      <c r="AA93" s="4" t="str">
        <f>IF(tblEnrollment[[#This Row],[Current Status]] ="Ready","Completed",IF(Z93&gt;21,"SLA Breached","Within SLA"))</f>
        <v>Within SLA</v>
      </c>
      <c r="AB93" s="4" t="str">
        <f>IF(tblEnrollment[[#This Row],[Credentialed NPI]] =tblEnrollment[[#This Row],[Enrolled NPI]],"NPI Match","NPI Mismatch")</f>
        <v>NPI Match</v>
      </c>
      <c r="AC93" s="4" t="str">
        <f>IF(OR(tblEnrollment[[#This Row],[Blocker Reason]] ="Individual NPI used instead of Group NPI",tblEnrollment[[#This Row],[Blocker Reason]] ="Credentialed NPI mismatch",tblEnrollment[[#This Row],[Blocker Reason]] ="Incorrect PTAN/Provider number"),"Yes","No")</f>
        <v>No</v>
      </c>
      <c r="AD93" s="4" t="str">
        <f>IF(OR(tblEnrollment[[#This Row],[Blocker Reason]] ="Wrong Payer ID",tblEnrollment[[#This Row],[Blocker Reason]] ="Old Payer ID used"),"Yes","No")</f>
        <v>No</v>
      </c>
      <c r="AE93" s="4" t="str">
        <f>IF(OR(tblEnrollment[[#This Row],[Clearinghouse Portal Updated]]="No",tblEnrollment[[#This Row],[Blocker Reason]] ="Clearinghouse portal not updated"),"Yes","No")</f>
        <v>No</v>
      </c>
      <c r="AF9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9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Status]]="Completed",AB93="NPI Match"),"Ready","Not Ready"),"Not Applicable")</f>
        <v>Not Ready</v>
      </c>
      <c r="AH93" s="4" t="str">
        <f>IF(OR(tblEnrollment[[#This Row],[Enrollment Type]]="ERA",tblEnrollment[[#This Row],[Enrollment Type]]="Claims and ERA"),IF(AND(tblEnrollment[[#This Row],[Credentialing Status]]="Completed",tblEnrollment[[#This Row],[ERA Enrollment Status]]="Approved",tblEnrollment[[#This Row],[Clearinghouse Configuration Status]]="Completed",AB93="NPI Match"),"Ready","Not Ready"),"Not Applicable")</f>
        <v>Not Ready</v>
      </c>
      <c r="AI93" s="4" t="str">
        <f>IF(tblEnrollment[[#This Row],[Blocker Reason]] ="No Blocker","No","Yes")</f>
        <v>Yes</v>
      </c>
    </row>
    <row r="94" spans="1:35" ht="29">
      <c r="A94" s="35" t="s">
        <v>700</v>
      </c>
      <c r="B94" s="35" t="s">
        <v>68</v>
      </c>
      <c r="C94" s="35" t="s">
        <v>701</v>
      </c>
      <c r="D94" s="35" t="s">
        <v>702</v>
      </c>
      <c r="E94" s="35" t="s">
        <v>405</v>
      </c>
      <c r="F94" s="35" t="s">
        <v>405</v>
      </c>
      <c r="G94" s="35" t="s">
        <v>405</v>
      </c>
      <c r="H94" s="35" t="s">
        <v>703</v>
      </c>
      <c r="I94" s="35" t="s">
        <v>130</v>
      </c>
      <c r="J94" s="35" t="s">
        <v>393</v>
      </c>
      <c r="K94" s="35" t="s">
        <v>53</v>
      </c>
      <c r="L94" s="35" t="s">
        <v>54</v>
      </c>
      <c r="M94" s="35" t="s">
        <v>45</v>
      </c>
      <c r="N94" s="35" t="s">
        <v>46</v>
      </c>
      <c r="O94" s="35" t="s">
        <v>47</v>
      </c>
      <c r="P94" s="35" t="s">
        <v>56</v>
      </c>
      <c r="Q94" s="35" t="s">
        <v>58</v>
      </c>
      <c r="R94" s="35" t="s">
        <v>56</v>
      </c>
      <c r="S94" s="36">
        <v>46085</v>
      </c>
      <c r="T94" s="36"/>
      <c r="U94" s="35" t="s">
        <v>56</v>
      </c>
      <c r="V94" s="35" t="s">
        <v>143</v>
      </c>
      <c r="W94" s="35" t="s">
        <v>365</v>
      </c>
      <c r="X94" s="36">
        <v>46187</v>
      </c>
      <c r="Y94" s="35" t="s">
        <v>343</v>
      </c>
      <c r="Z94" s="4">
        <f>IF(tblEnrollment[[#This Row],[Approved Date]]="",DATE(2026,6,3)-tblEnrollment[[#This Row],[Submitted Date]],tblEnrollment[[#This Row],[Approved Date]]-tblEnrollment[[#This Row],[Submitted Date]])</f>
        <v>91</v>
      </c>
      <c r="AA94" s="4" t="str">
        <f>IF(tblEnrollment[[#This Row],[Current Status]] ="Ready","Completed",IF(Z94&gt;21,"SLA Breached","Within SLA"))</f>
        <v>SLA Breached</v>
      </c>
      <c r="AB94" s="4" t="str">
        <f>IF(tblEnrollment[[#This Row],[Credentialed NPI]] =tblEnrollment[[#This Row],[Enrolled NPI]],"NPI Match","NPI Mismatch")</f>
        <v>NPI Match</v>
      </c>
      <c r="AC94" s="4" t="str">
        <f>IF(OR(tblEnrollment[[#This Row],[Blocker Reason]] ="Individual NPI used instead of Group NPI",tblEnrollment[[#This Row],[Blocker Reason]] ="Credentialed NPI mismatch",tblEnrollment[[#This Row],[Blocker Reason]] ="Incorrect PTAN/Provider number"),"Yes","No")</f>
        <v>No</v>
      </c>
      <c r="AD94" s="4" t="str">
        <f>IF(OR(tblEnrollment[[#This Row],[Blocker Reason]] ="Wrong Payer ID",tblEnrollment[[#This Row],[Blocker Reason]] ="Old Payer ID used"),"Yes","No")</f>
        <v>No</v>
      </c>
      <c r="AE94" s="4" t="str">
        <f>IF(OR(tblEnrollment[[#This Row],[Clearinghouse Portal Updated]]="No",tblEnrollment[[#This Row],[Blocker Reason]] ="Clearinghouse portal not updated"),"Yes","No")</f>
        <v>Yes</v>
      </c>
      <c r="AF9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9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Status]]="Completed",AB94="NPI Match"),"Ready","Not Ready"),"Not Applicable")</f>
        <v>Not Ready</v>
      </c>
      <c r="AH94" s="4" t="str">
        <f>IF(OR(tblEnrollment[[#This Row],[Enrollment Type]]="ERA",tblEnrollment[[#This Row],[Enrollment Type]]="Claims and ERA"),IF(AND(tblEnrollment[[#This Row],[Credentialing Status]]="Completed",tblEnrollment[[#This Row],[ERA Enrollment Status]]="Approved",tblEnrollment[[#This Row],[Clearinghouse Configuration Status]]="Completed",AB94="NPI Match"),"Ready","Not Ready"),"Not Applicable")</f>
        <v>Not Ready</v>
      </c>
      <c r="AI94" s="4" t="str">
        <f>IF(tblEnrollment[[#This Row],[Blocker Reason]] ="No Blocker","No","Yes")</f>
        <v>Yes</v>
      </c>
    </row>
    <row r="95" spans="1:35" ht="29">
      <c r="A95" s="35" t="s">
        <v>704</v>
      </c>
      <c r="B95" s="35" t="s">
        <v>64</v>
      </c>
      <c r="C95" s="35" t="s">
        <v>705</v>
      </c>
      <c r="D95" s="35" t="s">
        <v>706</v>
      </c>
      <c r="E95" s="35" t="s">
        <v>102</v>
      </c>
      <c r="F95" s="35" t="s">
        <v>102</v>
      </c>
      <c r="G95" s="35" t="s">
        <v>102</v>
      </c>
      <c r="H95" s="35" t="s">
        <v>707</v>
      </c>
      <c r="I95" s="35" t="s">
        <v>131</v>
      </c>
      <c r="J95" s="35" t="s">
        <v>342</v>
      </c>
      <c r="K95" s="35" t="s">
        <v>53</v>
      </c>
      <c r="L95" s="35" t="s">
        <v>54</v>
      </c>
      <c r="M95" s="35" t="s">
        <v>45</v>
      </c>
      <c r="N95" s="35" t="s">
        <v>46</v>
      </c>
      <c r="O95" s="35" t="s">
        <v>56</v>
      </c>
      <c r="P95" s="35" t="s">
        <v>56</v>
      </c>
      <c r="Q95" s="35" t="s">
        <v>48</v>
      </c>
      <c r="R95" s="35" t="s">
        <v>137</v>
      </c>
      <c r="S95" s="36">
        <v>46134</v>
      </c>
      <c r="T95" s="36"/>
      <c r="U95" s="35" t="s">
        <v>56</v>
      </c>
      <c r="V95" s="35" t="s">
        <v>148</v>
      </c>
      <c r="W95" s="35" t="s">
        <v>365</v>
      </c>
      <c r="X95" s="36">
        <v>46182</v>
      </c>
      <c r="Y95" s="35" t="s">
        <v>359</v>
      </c>
      <c r="Z95" s="4">
        <f>IF(tblEnrollment[[#This Row],[Approved Date]]="",DATE(2026,6,3)-tblEnrollment[[#This Row],[Submitted Date]],tblEnrollment[[#This Row],[Approved Date]]-tblEnrollment[[#This Row],[Submitted Date]])</f>
        <v>42</v>
      </c>
      <c r="AA95" s="4" t="str">
        <f>IF(tblEnrollment[[#This Row],[Current Status]] ="Ready","Completed",IF(Z95&gt;21,"SLA Breached","Within SLA"))</f>
        <v>SLA Breached</v>
      </c>
      <c r="AB95" s="4" t="str">
        <f>IF(tblEnrollment[[#This Row],[Credentialed NPI]] =tblEnrollment[[#This Row],[Enrolled NPI]],"NPI Match","NPI Mismatch")</f>
        <v>NPI Match</v>
      </c>
      <c r="AC95" s="4" t="str">
        <f>IF(OR(tblEnrollment[[#This Row],[Blocker Reason]] ="Individual NPI used instead of Group NPI",tblEnrollment[[#This Row],[Blocker Reason]] ="Credentialed NPI mismatch",tblEnrollment[[#This Row],[Blocker Reason]] ="Incorrect PTAN/Provider number"),"Yes","No")</f>
        <v>No</v>
      </c>
      <c r="AD95" s="4" t="str">
        <f>IF(OR(tblEnrollment[[#This Row],[Blocker Reason]] ="Wrong Payer ID",tblEnrollment[[#This Row],[Blocker Reason]] ="Old Payer ID used"),"Yes","No")</f>
        <v>No</v>
      </c>
      <c r="AE95" s="4" t="str">
        <f>IF(OR(tblEnrollment[[#This Row],[Clearinghouse Portal Updated]]="No",tblEnrollment[[#This Row],[Blocker Reason]] ="Clearinghouse portal not updated"),"Yes","No")</f>
        <v>No</v>
      </c>
      <c r="AF9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9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Status]]="Completed",AB95="NPI Match"),"Ready","Not Ready"),"Not Applicable")</f>
        <v>Not Ready</v>
      </c>
      <c r="AH95" s="4" t="str">
        <f>IF(OR(tblEnrollment[[#This Row],[Enrollment Type]]="ERA",tblEnrollment[[#This Row],[Enrollment Type]]="Claims and ERA"),IF(AND(tblEnrollment[[#This Row],[Credentialing Status]]="Completed",tblEnrollment[[#This Row],[ERA Enrollment Status]]="Approved",tblEnrollment[[#This Row],[Clearinghouse Configuration Status]]="Completed",AB95="NPI Match"),"Ready","Not Ready"),"Not Applicable")</f>
        <v>Not Ready</v>
      </c>
      <c r="AI95" s="4" t="str">
        <f>IF(tblEnrollment[[#This Row],[Blocker Reason]] ="No Blocker","No","Yes")</f>
        <v>Yes</v>
      </c>
    </row>
    <row r="96" spans="1:35" ht="29">
      <c r="A96" s="35" t="s">
        <v>708</v>
      </c>
      <c r="B96" s="35" t="s">
        <v>59</v>
      </c>
      <c r="C96" s="35" t="s">
        <v>380</v>
      </c>
      <c r="D96" s="35" t="s">
        <v>709</v>
      </c>
      <c r="E96" s="35" t="s">
        <v>506</v>
      </c>
      <c r="F96" s="35" t="s">
        <v>506</v>
      </c>
      <c r="G96" s="35" t="s">
        <v>506</v>
      </c>
      <c r="H96" s="35" t="s">
        <v>598</v>
      </c>
      <c r="I96" s="35" t="s">
        <v>51</v>
      </c>
      <c r="J96" s="35" t="s">
        <v>52</v>
      </c>
      <c r="K96" s="35" t="s">
        <v>53</v>
      </c>
      <c r="L96" s="35" t="s">
        <v>54</v>
      </c>
      <c r="M96" s="35" t="s">
        <v>45</v>
      </c>
      <c r="N96" s="35" t="s">
        <v>46</v>
      </c>
      <c r="O96" s="35" t="s">
        <v>56</v>
      </c>
      <c r="P96" s="35" t="s">
        <v>56</v>
      </c>
      <c r="Q96" s="35" t="s">
        <v>48</v>
      </c>
      <c r="R96" s="35" t="s">
        <v>137</v>
      </c>
      <c r="S96" s="36">
        <v>46149</v>
      </c>
      <c r="T96" s="36"/>
      <c r="U96" s="35" t="s">
        <v>56</v>
      </c>
      <c r="V96" s="35" t="s">
        <v>148</v>
      </c>
      <c r="W96" s="35" t="s">
        <v>338</v>
      </c>
      <c r="X96" s="36">
        <v>46177</v>
      </c>
      <c r="Y96" s="35" t="s">
        <v>359</v>
      </c>
      <c r="Z96" s="4">
        <f>IF(tblEnrollment[[#This Row],[Approved Date]]="",DATE(2026,6,3)-tblEnrollment[[#This Row],[Submitted Date]],tblEnrollment[[#This Row],[Approved Date]]-tblEnrollment[[#This Row],[Submitted Date]])</f>
        <v>27</v>
      </c>
      <c r="AA96" s="4" t="str">
        <f>IF(tblEnrollment[[#This Row],[Current Status]] ="Ready","Completed",IF(Z96&gt;21,"SLA Breached","Within SLA"))</f>
        <v>SLA Breached</v>
      </c>
      <c r="AB96" s="4" t="str">
        <f>IF(tblEnrollment[[#This Row],[Credentialed NPI]] =tblEnrollment[[#This Row],[Enrolled NPI]],"NPI Match","NPI Mismatch")</f>
        <v>NPI Match</v>
      </c>
      <c r="AC96" s="4" t="str">
        <f>IF(OR(tblEnrollment[[#This Row],[Blocker Reason]] ="Individual NPI used instead of Group NPI",tblEnrollment[[#This Row],[Blocker Reason]] ="Credentialed NPI mismatch",tblEnrollment[[#This Row],[Blocker Reason]] ="Incorrect PTAN/Provider number"),"Yes","No")</f>
        <v>No</v>
      </c>
      <c r="AD96" s="4" t="str">
        <f>IF(OR(tblEnrollment[[#This Row],[Blocker Reason]] ="Wrong Payer ID",tblEnrollment[[#This Row],[Blocker Reason]] ="Old Payer ID used"),"Yes","No")</f>
        <v>No</v>
      </c>
      <c r="AE96" s="4" t="str">
        <f>IF(OR(tblEnrollment[[#This Row],[Clearinghouse Portal Updated]]="No",tblEnrollment[[#This Row],[Blocker Reason]] ="Clearinghouse portal not updated"),"Yes","No")</f>
        <v>No</v>
      </c>
      <c r="AF9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9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Status]]="Completed",AB96="NPI Match"),"Ready","Not Ready"),"Not Applicable")</f>
        <v>Not Ready</v>
      </c>
      <c r="AH96" s="4" t="str">
        <f>IF(OR(tblEnrollment[[#This Row],[Enrollment Type]]="ERA",tblEnrollment[[#This Row],[Enrollment Type]]="Claims and ERA"),IF(AND(tblEnrollment[[#This Row],[Credentialing Status]]="Completed",tblEnrollment[[#This Row],[ERA Enrollment Status]]="Approved",tblEnrollment[[#This Row],[Clearinghouse Configuration Status]]="Completed",AB96="NPI Match"),"Ready","Not Ready"),"Not Applicable")</f>
        <v>Not Ready</v>
      </c>
      <c r="AI96" s="4" t="str">
        <f>IF(tblEnrollment[[#This Row],[Blocker Reason]] ="No Blocker","No","Yes")</f>
        <v>Yes</v>
      </c>
    </row>
    <row r="97" spans="1:35" ht="29">
      <c r="A97" s="35" t="s">
        <v>710</v>
      </c>
      <c r="B97" s="35" t="s">
        <v>16</v>
      </c>
      <c r="C97" s="35" t="s">
        <v>601</v>
      </c>
      <c r="D97" s="35" t="s">
        <v>711</v>
      </c>
      <c r="E97" s="35" t="s">
        <v>712</v>
      </c>
      <c r="F97" s="35" t="s">
        <v>712</v>
      </c>
      <c r="G97" s="35" t="s">
        <v>712</v>
      </c>
      <c r="H97" s="35" t="s">
        <v>115</v>
      </c>
      <c r="I97" s="35" t="s">
        <v>129</v>
      </c>
      <c r="J97" s="35" t="s">
        <v>713</v>
      </c>
      <c r="K97" s="35" t="s">
        <v>44</v>
      </c>
      <c r="L97" s="35" t="s">
        <v>714</v>
      </c>
      <c r="M97" s="35" t="s">
        <v>55</v>
      </c>
      <c r="N97" s="35" t="s">
        <v>46</v>
      </c>
      <c r="O97" s="35" t="s">
        <v>138</v>
      </c>
      <c r="P97" s="35" t="s">
        <v>139</v>
      </c>
      <c r="Q97" s="35" t="s">
        <v>48</v>
      </c>
      <c r="R97" s="35" t="s">
        <v>140</v>
      </c>
      <c r="S97" s="36">
        <v>46123</v>
      </c>
      <c r="T97" s="36"/>
      <c r="U97" s="35" t="s">
        <v>141</v>
      </c>
      <c r="V97" s="35" t="s">
        <v>435</v>
      </c>
      <c r="W97" s="35" t="s">
        <v>349</v>
      </c>
      <c r="X97" s="36">
        <v>46185</v>
      </c>
      <c r="Y97" s="35" t="s">
        <v>436</v>
      </c>
      <c r="Z97" s="4">
        <f>IF(tblEnrollment[[#This Row],[Approved Date]]="",DATE(2026,6,3)-tblEnrollment[[#This Row],[Submitted Date]],tblEnrollment[[#This Row],[Approved Date]]-tblEnrollment[[#This Row],[Submitted Date]])</f>
        <v>53</v>
      </c>
      <c r="AA97" s="4" t="str">
        <f>IF(tblEnrollment[[#This Row],[Current Status]] ="Ready","Completed",IF(Z97&gt;21,"SLA Breached","Within SLA"))</f>
        <v>SLA Breached</v>
      </c>
      <c r="AB97" s="4" t="str">
        <f>IF(tblEnrollment[[#This Row],[Credentialed NPI]] =tblEnrollment[[#This Row],[Enrolled NPI]],"NPI Match","NPI Mismatch")</f>
        <v>NPI Match</v>
      </c>
      <c r="AC97" s="4" t="str">
        <f>IF(OR(tblEnrollment[[#This Row],[Blocker Reason]] ="Individual NPI used instead of Group NPI",tblEnrollment[[#This Row],[Blocker Reason]] ="Credentialed NPI mismatch",tblEnrollment[[#This Row],[Blocker Reason]] ="Incorrect PTAN/Provider number"),"Yes","No")</f>
        <v>No</v>
      </c>
      <c r="AD97" s="4" t="str">
        <f>IF(OR(tblEnrollment[[#This Row],[Blocker Reason]] ="Wrong Payer ID",tblEnrollment[[#This Row],[Blocker Reason]] ="Old Payer ID used"),"Yes","No")</f>
        <v>Yes</v>
      </c>
      <c r="AE97" s="4" t="str">
        <f>IF(OR(tblEnrollment[[#This Row],[Clearinghouse Portal Updated]]="No",tblEnrollment[[#This Row],[Blocker Reason]] ="Clearinghouse portal not updated"),"Yes","No")</f>
        <v>No</v>
      </c>
      <c r="AF9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9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Status]]="Completed",AB97="NPI Match"),"Ready","Not Ready"),"Not Applicable")</f>
        <v>Not Ready</v>
      </c>
      <c r="AH97" s="4" t="str">
        <f>IF(OR(tblEnrollment[[#This Row],[Enrollment Type]]="ERA",tblEnrollment[[#This Row],[Enrollment Type]]="Claims and ERA"),IF(AND(tblEnrollment[[#This Row],[Credentialing Status]]="Completed",tblEnrollment[[#This Row],[ERA Enrollment Status]]="Approved",tblEnrollment[[#This Row],[Clearinghouse Configuration Status]]="Completed",AB97="NPI Match"),"Ready","Not Ready"),"Not Applicable")</f>
        <v>Not Applicable</v>
      </c>
      <c r="AI97" s="4" t="str">
        <f>IF(tblEnrollment[[#This Row],[Blocker Reason]] ="No Blocker","No","Yes")</f>
        <v>Yes</v>
      </c>
    </row>
    <row r="98" spans="1:35" ht="29">
      <c r="A98" s="35" t="s">
        <v>715</v>
      </c>
      <c r="B98" s="35" t="s">
        <v>395</v>
      </c>
      <c r="C98" s="35" t="s">
        <v>716</v>
      </c>
      <c r="D98" s="35" t="s">
        <v>717</v>
      </c>
      <c r="E98" s="35" t="s">
        <v>478</v>
      </c>
      <c r="F98" s="35" t="s">
        <v>478</v>
      </c>
      <c r="G98" s="35" t="s">
        <v>478</v>
      </c>
      <c r="H98" s="35" t="s">
        <v>113</v>
      </c>
      <c r="I98" s="35" t="s">
        <v>132</v>
      </c>
      <c r="J98" s="35" t="s">
        <v>401</v>
      </c>
      <c r="K98" s="35" t="s">
        <v>53</v>
      </c>
      <c r="L98" s="35" t="s">
        <v>54</v>
      </c>
      <c r="M98" s="35" t="s">
        <v>45</v>
      </c>
      <c r="N98" s="35" t="s">
        <v>46</v>
      </c>
      <c r="O98" s="35" t="s">
        <v>47</v>
      </c>
      <c r="P98" s="35" t="s">
        <v>56</v>
      </c>
      <c r="Q98" s="35" t="s">
        <v>48</v>
      </c>
      <c r="R98" s="35" t="s">
        <v>137</v>
      </c>
      <c r="S98" s="36">
        <v>46161</v>
      </c>
      <c r="T98" s="36"/>
      <c r="U98" s="35" t="s">
        <v>56</v>
      </c>
      <c r="V98" s="35" t="s">
        <v>364</v>
      </c>
      <c r="W98" s="35" t="s">
        <v>330</v>
      </c>
      <c r="X98" s="36">
        <v>46184</v>
      </c>
      <c r="Y98" s="35" t="s">
        <v>366</v>
      </c>
      <c r="Z98" s="4">
        <f>IF(tblEnrollment[[#This Row],[Approved Date]]="",DATE(2026,6,3)-tblEnrollment[[#This Row],[Submitted Date]],tblEnrollment[[#This Row],[Approved Date]]-tblEnrollment[[#This Row],[Submitted Date]])</f>
        <v>15</v>
      </c>
      <c r="AA98" s="4" t="str">
        <f>IF(tblEnrollment[[#This Row],[Current Status]] ="Ready","Completed",IF(Z98&gt;21,"SLA Breached","Within SLA"))</f>
        <v>Within SLA</v>
      </c>
      <c r="AB98" s="4" t="str">
        <f>IF(tblEnrollment[[#This Row],[Credentialed NPI]] =tblEnrollment[[#This Row],[Enrolled NPI]],"NPI Match","NPI Mismatch")</f>
        <v>NPI Match</v>
      </c>
      <c r="AC98" s="4" t="str">
        <f>IF(OR(tblEnrollment[[#This Row],[Blocker Reason]] ="Individual NPI used instead of Group NPI",tblEnrollment[[#This Row],[Blocker Reason]] ="Credentialed NPI mismatch",tblEnrollment[[#This Row],[Blocker Reason]] ="Incorrect PTAN/Provider number"),"Yes","No")</f>
        <v>No</v>
      </c>
      <c r="AD98" s="4" t="str">
        <f>IF(OR(tblEnrollment[[#This Row],[Blocker Reason]] ="Wrong Payer ID",tblEnrollment[[#This Row],[Blocker Reason]] ="Old Payer ID used"),"Yes","No")</f>
        <v>No</v>
      </c>
      <c r="AE98" s="4" t="str">
        <f>IF(OR(tblEnrollment[[#This Row],[Clearinghouse Portal Updated]]="No",tblEnrollment[[#This Row],[Blocker Reason]] ="Clearinghouse portal not updated"),"Yes","No")</f>
        <v>No</v>
      </c>
      <c r="AF9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9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Status]]="Completed",AB98="NPI Match"),"Ready","Not Ready"),"Not Applicable")</f>
        <v>Not Ready</v>
      </c>
      <c r="AH98" s="4" t="str">
        <f>IF(OR(tblEnrollment[[#This Row],[Enrollment Type]]="ERA",tblEnrollment[[#This Row],[Enrollment Type]]="Claims and ERA"),IF(AND(tblEnrollment[[#This Row],[Credentialing Status]]="Completed",tblEnrollment[[#This Row],[ERA Enrollment Status]]="Approved",tblEnrollment[[#This Row],[Clearinghouse Configuration Status]]="Completed",AB98="NPI Match"),"Ready","Not Ready"),"Not Applicable")</f>
        <v>Not Ready</v>
      </c>
      <c r="AI98" s="4" t="str">
        <f>IF(tblEnrollment[[#This Row],[Blocker Reason]] ="No Blocker","No","Yes")</f>
        <v>Yes</v>
      </c>
    </row>
    <row r="99" spans="1:35" ht="29">
      <c r="A99" s="35" t="s">
        <v>718</v>
      </c>
      <c r="B99" s="35" t="s">
        <v>64</v>
      </c>
      <c r="C99" s="35" t="s">
        <v>719</v>
      </c>
      <c r="D99" s="35" t="s">
        <v>720</v>
      </c>
      <c r="E99" s="35" t="s">
        <v>87</v>
      </c>
      <c r="F99" s="35" t="s">
        <v>87</v>
      </c>
      <c r="G99" s="35" t="s">
        <v>87</v>
      </c>
      <c r="H99" s="35" t="s">
        <v>108</v>
      </c>
      <c r="I99" s="35" t="s">
        <v>130</v>
      </c>
      <c r="J99" s="35" t="s">
        <v>721</v>
      </c>
      <c r="K99" s="35" t="s">
        <v>53</v>
      </c>
      <c r="L99" s="35" t="s">
        <v>54</v>
      </c>
      <c r="M99" s="35" t="s">
        <v>45</v>
      </c>
      <c r="N99" s="35" t="s">
        <v>46</v>
      </c>
      <c r="O99" s="35" t="s">
        <v>138</v>
      </c>
      <c r="P99" s="35" t="s">
        <v>138</v>
      </c>
      <c r="Q99" s="35" t="s">
        <v>48</v>
      </c>
      <c r="R99" s="35" t="s">
        <v>140</v>
      </c>
      <c r="S99" s="36">
        <v>46150</v>
      </c>
      <c r="T99" s="36"/>
      <c r="U99" s="35" t="s">
        <v>141</v>
      </c>
      <c r="V99" s="35" t="s">
        <v>329</v>
      </c>
      <c r="W99" s="35" t="s">
        <v>441</v>
      </c>
      <c r="X99" s="36">
        <v>46178</v>
      </c>
      <c r="Y99" s="35" t="s">
        <v>331</v>
      </c>
      <c r="Z99" s="4">
        <f>IF(tblEnrollment[[#This Row],[Approved Date]]="",DATE(2026,6,3)-tblEnrollment[[#This Row],[Submitted Date]],tblEnrollment[[#This Row],[Approved Date]]-tblEnrollment[[#This Row],[Submitted Date]])</f>
        <v>26</v>
      </c>
      <c r="AA99" s="4" t="str">
        <f>IF(tblEnrollment[[#This Row],[Current Status]] ="Ready","Completed",IF(Z99&gt;21,"SLA Breached","Within SLA"))</f>
        <v>SLA Breached</v>
      </c>
      <c r="AB99" s="4" t="str">
        <f>IF(tblEnrollment[[#This Row],[Credentialed NPI]] =tblEnrollment[[#This Row],[Enrolled NPI]],"NPI Match","NPI Mismatch")</f>
        <v>NPI Match</v>
      </c>
      <c r="AC99" s="4" t="str">
        <f>IF(OR(tblEnrollment[[#This Row],[Blocker Reason]] ="Individual NPI used instead of Group NPI",tblEnrollment[[#This Row],[Blocker Reason]] ="Credentialed NPI mismatch",tblEnrollment[[#This Row],[Blocker Reason]] ="Incorrect PTAN/Provider number"),"Yes","No")</f>
        <v>No</v>
      </c>
      <c r="AD99" s="4" t="str">
        <f>IF(OR(tblEnrollment[[#This Row],[Blocker Reason]] ="Wrong Payer ID",tblEnrollment[[#This Row],[Blocker Reason]] ="Old Payer ID used"),"Yes","No")</f>
        <v>Yes</v>
      </c>
      <c r="AE99" s="4" t="str">
        <f>IF(OR(tblEnrollment[[#This Row],[Clearinghouse Portal Updated]]="No",tblEnrollment[[#This Row],[Blocker Reason]] ="Clearinghouse portal not updated"),"Yes","No")</f>
        <v>No</v>
      </c>
      <c r="AF9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9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Status]]="Completed",AB99="NPI Match"),"Ready","Not Ready"),"Not Applicable")</f>
        <v>Not Ready</v>
      </c>
      <c r="AH99" s="4" t="str">
        <f>IF(OR(tblEnrollment[[#This Row],[Enrollment Type]]="ERA",tblEnrollment[[#This Row],[Enrollment Type]]="Claims and ERA"),IF(AND(tblEnrollment[[#This Row],[Credentialing Status]]="Completed",tblEnrollment[[#This Row],[ERA Enrollment Status]]="Approved",tblEnrollment[[#This Row],[Clearinghouse Configuration Status]]="Completed",AB99="NPI Match"),"Ready","Not Ready"),"Not Applicable")</f>
        <v>Not Ready</v>
      </c>
      <c r="AI99" s="4" t="str">
        <f>IF(tblEnrollment[[#This Row],[Blocker Reason]] ="No Blocker","No","Yes")</f>
        <v>Yes</v>
      </c>
    </row>
    <row r="100" spans="1:35" ht="29">
      <c r="A100" s="35" t="s">
        <v>722</v>
      </c>
      <c r="B100" s="35" t="s">
        <v>59</v>
      </c>
      <c r="C100" s="35" t="s">
        <v>723</v>
      </c>
      <c r="D100" s="35" t="s">
        <v>724</v>
      </c>
      <c r="E100" s="35" t="s">
        <v>85</v>
      </c>
      <c r="F100" s="35" t="s">
        <v>85</v>
      </c>
      <c r="G100" s="35" t="s">
        <v>724</v>
      </c>
      <c r="H100" s="35" t="s">
        <v>128</v>
      </c>
      <c r="I100" s="35" t="s">
        <v>51</v>
      </c>
      <c r="J100" s="35" t="s">
        <v>52</v>
      </c>
      <c r="K100" s="35" t="s">
        <v>53</v>
      </c>
      <c r="L100" s="35" t="s">
        <v>54</v>
      </c>
      <c r="M100" s="35" t="s">
        <v>136</v>
      </c>
      <c r="N100" s="35" t="s">
        <v>46</v>
      </c>
      <c r="O100" s="35" t="s">
        <v>139</v>
      </c>
      <c r="P100" s="35" t="s">
        <v>138</v>
      </c>
      <c r="Q100" s="35" t="s">
        <v>48</v>
      </c>
      <c r="R100" s="35" t="s">
        <v>140</v>
      </c>
      <c r="S100" s="36">
        <v>46099</v>
      </c>
      <c r="T100" s="36"/>
      <c r="U100" s="35" t="s">
        <v>141</v>
      </c>
      <c r="V100" s="35" t="s">
        <v>412</v>
      </c>
      <c r="W100" s="35" t="s">
        <v>349</v>
      </c>
      <c r="X100" s="36">
        <v>46184</v>
      </c>
      <c r="Y100" s="35" t="s">
        <v>413</v>
      </c>
      <c r="Z100" s="4">
        <f>IF(tblEnrollment[[#This Row],[Approved Date]]="",DATE(2026,6,3)-tblEnrollment[[#This Row],[Submitted Date]],tblEnrollment[[#This Row],[Approved Date]]-tblEnrollment[[#This Row],[Submitted Date]])</f>
        <v>77</v>
      </c>
      <c r="AA100" s="4" t="str">
        <f>IF(tblEnrollment[[#This Row],[Current Status]] ="Ready","Completed",IF(Z100&gt;21,"SLA Breached","Within SLA"))</f>
        <v>SLA Breached</v>
      </c>
      <c r="AB100" s="4" t="str">
        <f>IF(tblEnrollment[[#This Row],[Credentialed NPI]] =tblEnrollment[[#This Row],[Enrolled NPI]],"NPI Match","NPI Mismatch")</f>
        <v>NPI Mismatch</v>
      </c>
      <c r="AC100" s="4" t="str">
        <f>IF(OR(tblEnrollment[[#This Row],[Blocker Reason]] ="Individual NPI used instead of Group NPI",tblEnrollment[[#This Row],[Blocker Reason]] ="Credentialed NPI mismatch",tblEnrollment[[#This Row],[Blocker Reason]] ="Incorrect PTAN/Provider number"),"Yes","No")</f>
        <v>Yes</v>
      </c>
      <c r="AD100" s="4" t="str">
        <f>IF(OR(tblEnrollment[[#This Row],[Blocker Reason]] ="Wrong Payer ID",tblEnrollment[[#This Row],[Blocker Reason]] ="Old Payer ID used"),"Yes","No")</f>
        <v>No</v>
      </c>
      <c r="AE100" s="4" t="str">
        <f>IF(OR(tblEnrollment[[#This Row],[Clearinghouse Portal Updated]]="No",tblEnrollment[[#This Row],[Blocker Reason]] ="Clearinghouse portal not updated"),"Yes","No")</f>
        <v>No</v>
      </c>
      <c r="AF10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0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Status]]="Completed",AB100="NPI Match"),"Ready","Not Ready"),"Not Applicable")</f>
        <v>Not Applicable</v>
      </c>
      <c r="AH100" s="4" t="str">
        <f>IF(OR(tblEnrollment[[#This Row],[Enrollment Type]]="ERA",tblEnrollment[[#This Row],[Enrollment Type]]="Claims and ERA"),IF(AND(tblEnrollment[[#This Row],[Credentialing Status]]="Completed",tblEnrollment[[#This Row],[ERA Enrollment Status]]="Approved",tblEnrollment[[#This Row],[Clearinghouse Configuration Status]]="Completed",AB100="NPI Match"),"Ready","Not Ready"),"Not Applicable")</f>
        <v>Not Ready</v>
      </c>
      <c r="AI100" s="4" t="str">
        <f>IF(tblEnrollment[[#This Row],[Blocker Reason]] ="No Blocker","No","Yes")</f>
        <v>Yes</v>
      </c>
    </row>
    <row r="101" spans="1:35" ht="29">
      <c r="A101" s="35" t="s">
        <v>725</v>
      </c>
      <c r="B101" s="35" t="s">
        <v>361</v>
      </c>
      <c r="C101" s="35" t="s">
        <v>450</v>
      </c>
      <c r="D101" s="35" t="s">
        <v>726</v>
      </c>
      <c r="E101" s="35" t="s">
        <v>681</v>
      </c>
      <c r="F101" s="35" t="s">
        <v>681</v>
      </c>
      <c r="G101" s="35" t="s">
        <v>681</v>
      </c>
      <c r="H101" s="35" t="s">
        <v>727</v>
      </c>
      <c r="I101" s="35" t="s">
        <v>132</v>
      </c>
      <c r="J101" s="35" t="s">
        <v>401</v>
      </c>
      <c r="K101" s="35" t="s">
        <v>53</v>
      </c>
      <c r="L101" s="35" t="s">
        <v>54</v>
      </c>
      <c r="M101" s="35" t="s">
        <v>136</v>
      </c>
      <c r="N101" s="35" t="s">
        <v>137</v>
      </c>
      <c r="O101" s="35" t="s">
        <v>139</v>
      </c>
      <c r="P101" s="35" t="s">
        <v>57</v>
      </c>
      <c r="Q101" s="35" t="s">
        <v>58</v>
      </c>
      <c r="R101" s="35" t="s">
        <v>57</v>
      </c>
      <c r="S101" s="36">
        <v>46164</v>
      </c>
      <c r="T101" s="36"/>
      <c r="U101" s="35" t="s">
        <v>56</v>
      </c>
      <c r="V101" s="35" t="s">
        <v>147</v>
      </c>
      <c r="W101" s="35" t="s">
        <v>365</v>
      </c>
      <c r="X101" s="36">
        <v>46185</v>
      </c>
      <c r="Y101" s="35" t="s">
        <v>406</v>
      </c>
      <c r="Z101" s="4">
        <f>IF(tblEnrollment[[#This Row],[Approved Date]]="",DATE(2026,6,3)-tblEnrollment[[#This Row],[Submitted Date]],tblEnrollment[[#This Row],[Approved Date]]-tblEnrollment[[#This Row],[Submitted Date]])</f>
        <v>12</v>
      </c>
      <c r="AA101" s="4" t="str">
        <f>IF(tblEnrollment[[#This Row],[Current Status]] ="Ready","Completed",IF(Z101&gt;21,"SLA Breached","Within SLA"))</f>
        <v>Within SLA</v>
      </c>
      <c r="AB101" s="4" t="str">
        <f>IF(tblEnrollment[[#This Row],[Credentialed NPI]] =tblEnrollment[[#This Row],[Enrolled NPI]],"NPI Match","NPI Mismatch")</f>
        <v>NPI Match</v>
      </c>
      <c r="AC101" s="4" t="str">
        <f>IF(OR(tblEnrollment[[#This Row],[Blocker Reason]] ="Individual NPI used instead of Group NPI",tblEnrollment[[#This Row],[Blocker Reason]] ="Credentialed NPI mismatch",tblEnrollment[[#This Row],[Blocker Reason]] ="Incorrect PTAN/Provider number"),"Yes","No")</f>
        <v>No</v>
      </c>
      <c r="AD101" s="4" t="str">
        <f>IF(OR(tblEnrollment[[#This Row],[Blocker Reason]] ="Wrong Payer ID",tblEnrollment[[#This Row],[Blocker Reason]] ="Old Payer ID used"),"Yes","No")</f>
        <v>No</v>
      </c>
      <c r="AE101" s="4" t="str">
        <f>IF(OR(tblEnrollment[[#This Row],[Clearinghouse Portal Updated]]="No",tblEnrollment[[#This Row],[Blocker Reason]] ="Clearinghouse portal not updated"),"Yes","No")</f>
        <v>Yes</v>
      </c>
      <c r="AF10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0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Status]]="Completed",AB101="NPI Match"),"Ready","Not Ready"),"Not Applicable")</f>
        <v>Not Applicable</v>
      </c>
      <c r="AH101" s="4" t="str">
        <f>IF(OR(tblEnrollment[[#This Row],[Enrollment Type]]="ERA",tblEnrollment[[#This Row],[Enrollment Type]]="Claims and ERA"),IF(AND(tblEnrollment[[#This Row],[Credentialing Status]]="Completed",tblEnrollment[[#This Row],[ERA Enrollment Status]]="Approved",tblEnrollment[[#This Row],[Clearinghouse Configuration Status]]="Completed",AB101="NPI Match"),"Ready","Not Ready"),"Not Applicable")</f>
        <v>Not Ready</v>
      </c>
      <c r="AI101" s="4" t="str">
        <f>IF(tblEnrollment[[#This Row],[Blocker Reason]] ="No Blocker","No","Yes")</f>
        <v>Yes</v>
      </c>
    </row>
    <row r="102" spans="1:35" ht="29">
      <c r="A102" s="35" t="s">
        <v>728</v>
      </c>
      <c r="B102" s="35" t="s">
        <v>70</v>
      </c>
      <c r="C102" s="35" t="s">
        <v>729</v>
      </c>
      <c r="D102" s="35" t="s">
        <v>730</v>
      </c>
      <c r="E102" s="35" t="s">
        <v>98</v>
      </c>
      <c r="F102" s="35" t="s">
        <v>98</v>
      </c>
      <c r="G102" s="35" t="s">
        <v>98</v>
      </c>
      <c r="H102" s="35" t="s">
        <v>670</v>
      </c>
      <c r="I102" s="35" t="s">
        <v>131</v>
      </c>
      <c r="J102" s="35" t="s">
        <v>731</v>
      </c>
      <c r="K102" s="35" t="s">
        <v>53</v>
      </c>
      <c r="L102" s="35" t="s">
        <v>54</v>
      </c>
      <c r="M102" s="35" t="s">
        <v>55</v>
      </c>
      <c r="N102" s="35" t="s">
        <v>46</v>
      </c>
      <c r="O102" s="35" t="s">
        <v>138</v>
      </c>
      <c r="P102" s="35" t="s">
        <v>139</v>
      </c>
      <c r="Q102" s="35" t="s">
        <v>48</v>
      </c>
      <c r="R102" s="35" t="s">
        <v>140</v>
      </c>
      <c r="S102" s="36">
        <v>46077</v>
      </c>
      <c r="T102" s="36"/>
      <c r="U102" s="35" t="s">
        <v>141</v>
      </c>
      <c r="V102" s="35" t="s">
        <v>435</v>
      </c>
      <c r="W102" s="35" t="s">
        <v>349</v>
      </c>
      <c r="X102" s="36">
        <v>46177</v>
      </c>
      <c r="Y102" s="35" t="s">
        <v>436</v>
      </c>
      <c r="Z102" s="4">
        <f>IF(tblEnrollment[[#This Row],[Approved Date]]="",DATE(2026,6,3)-tblEnrollment[[#This Row],[Submitted Date]],tblEnrollment[[#This Row],[Approved Date]]-tblEnrollment[[#This Row],[Submitted Date]])</f>
        <v>99</v>
      </c>
      <c r="AA102" s="4" t="str">
        <f>IF(tblEnrollment[[#This Row],[Current Status]] ="Ready","Completed",IF(Z102&gt;21,"SLA Breached","Within SLA"))</f>
        <v>SLA Breached</v>
      </c>
      <c r="AB102" s="4" t="str">
        <f>IF(tblEnrollment[[#This Row],[Credentialed NPI]] =tblEnrollment[[#This Row],[Enrolled NPI]],"NPI Match","NPI Mismatch")</f>
        <v>NPI Match</v>
      </c>
      <c r="AC102" s="4" t="str">
        <f>IF(OR(tblEnrollment[[#This Row],[Blocker Reason]] ="Individual NPI used instead of Group NPI",tblEnrollment[[#This Row],[Blocker Reason]] ="Credentialed NPI mismatch",tblEnrollment[[#This Row],[Blocker Reason]] ="Incorrect PTAN/Provider number"),"Yes","No")</f>
        <v>No</v>
      </c>
      <c r="AD102" s="4" t="str">
        <f>IF(OR(tblEnrollment[[#This Row],[Blocker Reason]] ="Wrong Payer ID",tblEnrollment[[#This Row],[Blocker Reason]] ="Old Payer ID used"),"Yes","No")</f>
        <v>Yes</v>
      </c>
      <c r="AE102" s="4" t="str">
        <f>IF(OR(tblEnrollment[[#This Row],[Clearinghouse Portal Updated]]="No",tblEnrollment[[#This Row],[Blocker Reason]] ="Clearinghouse portal not updated"),"Yes","No")</f>
        <v>No</v>
      </c>
      <c r="AF10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0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Status]]="Completed",AB102="NPI Match"),"Ready","Not Ready"),"Not Applicable")</f>
        <v>Not Ready</v>
      </c>
      <c r="AH102" s="4" t="str">
        <f>IF(OR(tblEnrollment[[#This Row],[Enrollment Type]]="ERA",tblEnrollment[[#This Row],[Enrollment Type]]="Claims and ERA"),IF(AND(tblEnrollment[[#This Row],[Credentialing Status]]="Completed",tblEnrollment[[#This Row],[ERA Enrollment Status]]="Approved",tblEnrollment[[#This Row],[Clearinghouse Configuration Status]]="Completed",AB102="NPI Match"),"Ready","Not Ready"),"Not Applicable")</f>
        <v>Not Applicable</v>
      </c>
      <c r="AI102" s="4" t="str">
        <f>IF(tblEnrollment[[#This Row],[Blocker Reason]] ="No Blocker","No","Yes")</f>
        <v>Yes</v>
      </c>
    </row>
    <row r="103" spans="1:35" ht="29">
      <c r="A103" s="35" t="s">
        <v>732</v>
      </c>
      <c r="B103" s="35" t="s">
        <v>74</v>
      </c>
      <c r="C103" s="35" t="s">
        <v>733</v>
      </c>
      <c r="D103" s="35" t="s">
        <v>734</v>
      </c>
      <c r="E103" s="35" t="s">
        <v>735</v>
      </c>
      <c r="F103" s="35" t="s">
        <v>735</v>
      </c>
      <c r="G103" s="35" t="s">
        <v>735</v>
      </c>
      <c r="H103" s="35" t="s">
        <v>457</v>
      </c>
      <c r="I103" s="35" t="s">
        <v>131</v>
      </c>
      <c r="J103" s="35" t="s">
        <v>434</v>
      </c>
      <c r="K103" s="35" t="s">
        <v>53</v>
      </c>
      <c r="L103" s="35" t="s">
        <v>54</v>
      </c>
      <c r="M103" s="35" t="s">
        <v>136</v>
      </c>
      <c r="N103" s="35" t="s">
        <v>46</v>
      </c>
      <c r="O103" s="35" t="s">
        <v>139</v>
      </c>
      <c r="P103" s="35" t="s">
        <v>138</v>
      </c>
      <c r="Q103" s="35" t="s">
        <v>48</v>
      </c>
      <c r="R103" s="35" t="s">
        <v>140</v>
      </c>
      <c r="S103" s="36">
        <v>46135</v>
      </c>
      <c r="T103" s="36"/>
      <c r="U103" s="35" t="s">
        <v>141</v>
      </c>
      <c r="V103" s="35" t="s">
        <v>435</v>
      </c>
      <c r="W103" s="35" t="s">
        <v>330</v>
      </c>
      <c r="X103" s="36">
        <v>46183</v>
      </c>
      <c r="Y103" s="35" t="s">
        <v>436</v>
      </c>
      <c r="Z103" s="4">
        <f>IF(tblEnrollment[[#This Row],[Approved Date]]="",DATE(2026,6,3)-tblEnrollment[[#This Row],[Submitted Date]],tblEnrollment[[#This Row],[Approved Date]]-tblEnrollment[[#This Row],[Submitted Date]])</f>
        <v>41</v>
      </c>
      <c r="AA103" s="4" t="str">
        <f>IF(tblEnrollment[[#This Row],[Current Status]] ="Ready","Completed",IF(Z103&gt;21,"SLA Breached","Within SLA"))</f>
        <v>SLA Breached</v>
      </c>
      <c r="AB103" s="4" t="str">
        <f>IF(tblEnrollment[[#This Row],[Credentialed NPI]] =tblEnrollment[[#This Row],[Enrolled NPI]],"NPI Match","NPI Mismatch")</f>
        <v>NPI Match</v>
      </c>
      <c r="AC103" s="4" t="str">
        <f>IF(OR(tblEnrollment[[#This Row],[Blocker Reason]] ="Individual NPI used instead of Group NPI",tblEnrollment[[#This Row],[Blocker Reason]] ="Credentialed NPI mismatch",tblEnrollment[[#This Row],[Blocker Reason]] ="Incorrect PTAN/Provider number"),"Yes","No")</f>
        <v>No</v>
      </c>
      <c r="AD103" s="4" t="str">
        <f>IF(OR(tblEnrollment[[#This Row],[Blocker Reason]] ="Wrong Payer ID",tblEnrollment[[#This Row],[Blocker Reason]] ="Old Payer ID used"),"Yes","No")</f>
        <v>Yes</v>
      </c>
      <c r="AE103" s="4" t="str">
        <f>IF(OR(tblEnrollment[[#This Row],[Clearinghouse Portal Updated]]="No",tblEnrollment[[#This Row],[Blocker Reason]] ="Clearinghouse portal not updated"),"Yes","No")</f>
        <v>No</v>
      </c>
      <c r="AF10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0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Status]]="Completed",AB103="NPI Match"),"Ready","Not Ready"),"Not Applicable")</f>
        <v>Not Applicable</v>
      </c>
      <c r="AH103" s="4" t="str">
        <f>IF(OR(tblEnrollment[[#This Row],[Enrollment Type]]="ERA",tblEnrollment[[#This Row],[Enrollment Type]]="Claims and ERA"),IF(AND(tblEnrollment[[#This Row],[Credentialing Status]]="Completed",tblEnrollment[[#This Row],[ERA Enrollment Status]]="Approved",tblEnrollment[[#This Row],[Clearinghouse Configuration Status]]="Completed",AB103="NPI Match"),"Ready","Not Ready"),"Not Applicable")</f>
        <v>Not Ready</v>
      </c>
      <c r="AI103" s="4" t="str">
        <f>IF(tblEnrollment[[#This Row],[Blocker Reason]] ="No Blocker","No","Yes")</f>
        <v>Yes</v>
      </c>
    </row>
    <row r="104" spans="1:35" ht="29">
      <c r="A104" s="35" t="s">
        <v>736</v>
      </c>
      <c r="B104" s="35" t="s">
        <v>69</v>
      </c>
      <c r="C104" s="35" t="s">
        <v>737</v>
      </c>
      <c r="D104" s="35" t="s">
        <v>738</v>
      </c>
      <c r="E104" s="35" t="s">
        <v>422</v>
      </c>
      <c r="F104" s="35" t="s">
        <v>422</v>
      </c>
      <c r="G104" s="35" t="s">
        <v>422</v>
      </c>
      <c r="H104" s="35" t="s">
        <v>111</v>
      </c>
      <c r="I104" s="35" t="s">
        <v>51</v>
      </c>
      <c r="J104" s="35" t="s">
        <v>52</v>
      </c>
      <c r="K104" s="35" t="s">
        <v>53</v>
      </c>
      <c r="L104" s="35" t="s">
        <v>54</v>
      </c>
      <c r="M104" s="35" t="s">
        <v>45</v>
      </c>
      <c r="N104" s="35" t="s">
        <v>46</v>
      </c>
      <c r="O104" s="35" t="s">
        <v>47</v>
      </c>
      <c r="P104" s="35" t="s">
        <v>56</v>
      </c>
      <c r="Q104" s="35" t="s">
        <v>58</v>
      </c>
      <c r="R104" s="35" t="s">
        <v>56</v>
      </c>
      <c r="S104" s="36">
        <v>46138</v>
      </c>
      <c r="T104" s="36"/>
      <c r="U104" s="35" t="s">
        <v>56</v>
      </c>
      <c r="V104" s="35" t="s">
        <v>143</v>
      </c>
      <c r="W104" s="35" t="s">
        <v>330</v>
      </c>
      <c r="X104" s="36">
        <v>46180</v>
      </c>
      <c r="Y104" s="35" t="s">
        <v>343</v>
      </c>
      <c r="Z104" s="4">
        <f>IF(tblEnrollment[[#This Row],[Approved Date]]="",DATE(2026,6,3)-tblEnrollment[[#This Row],[Submitted Date]],tblEnrollment[[#This Row],[Approved Date]]-tblEnrollment[[#This Row],[Submitted Date]])</f>
        <v>38</v>
      </c>
      <c r="AA104" s="4" t="str">
        <f>IF(tblEnrollment[[#This Row],[Current Status]] ="Ready","Completed",IF(Z104&gt;21,"SLA Breached","Within SLA"))</f>
        <v>SLA Breached</v>
      </c>
      <c r="AB104" s="4" t="str">
        <f>IF(tblEnrollment[[#This Row],[Credentialed NPI]] =tblEnrollment[[#This Row],[Enrolled NPI]],"NPI Match","NPI Mismatch")</f>
        <v>NPI Match</v>
      </c>
      <c r="AC104" s="4" t="str">
        <f>IF(OR(tblEnrollment[[#This Row],[Blocker Reason]] ="Individual NPI used instead of Group NPI",tblEnrollment[[#This Row],[Blocker Reason]] ="Credentialed NPI mismatch",tblEnrollment[[#This Row],[Blocker Reason]] ="Incorrect PTAN/Provider number"),"Yes","No")</f>
        <v>No</v>
      </c>
      <c r="AD104" s="4" t="str">
        <f>IF(OR(tblEnrollment[[#This Row],[Blocker Reason]] ="Wrong Payer ID",tblEnrollment[[#This Row],[Blocker Reason]] ="Old Payer ID used"),"Yes","No")</f>
        <v>No</v>
      </c>
      <c r="AE104" s="4" t="str">
        <f>IF(OR(tblEnrollment[[#This Row],[Clearinghouse Portal Updated]]="No",tblEnrollment[[#This Row],[Blocker Reason]] ="Clearinghouse portal not updated"),"Yes","No")</f>
        <v>Yes</v>
      </c>
      <c r="AF10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0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Status]]="Completed",AB104="NPI Match"),"Ready","Not Ready"),"Not Applicable")</f>
        <v>Not Ready</v>
      </c>
      <c r="AH104" s="4" t="str">
        <f>IF(OR(tblEnrollment[[#This Row],[Enrollment Type]]="ERA",tblEnrollment[[#This Row],[Enrollment Type]]="Claims and ERA"),IF(AND(tblEnrollment[[#This Row],[Credentialing Status]]="Completed",tblEnrollment[[#This Row],[ERA Enrollment Status]]="Approved",tblEnrollment[[#This Row],[Clearinghouse Configuration Status]]="Completed",AB104="NPI Match"),"Ready","Not Ready"),"Not Applicable")</f>
        <v>Not Ready</v>
      </c>
      <c r="AI104" s="4" t="str">
        <f>IF(tblEnrollment[[#This Row],[Blocker Reason]] ="No Blocker","No","Yes")</f>
        <v>Yes</v>
      </c>
    </row>
    <row r="105" spans="1:35" ht="29">
      <c r="A105" s="35" t="s">
        <v>739</v>
      </c>
      <c r="B105" s="35" t="s">
        <v>471</v>
      </c>
      <c r="C105" s="35" t="s">
        <v>740</v>
      </c>
      <c r="D105" s="35" t="s">
        <v>741</v>
      </c>
      <c r="E105" s="35" t="s">
        <v>381</v>
      </c>
      <c r="F105" s="35" t="s">
        <v>381</v>
      </c>
      <c r="G105" s="35" t="s">
        <v>381</v>
      </c>
      <c r="H105" s="35" t="s">
        <v>742</v>
      </c>
      <c r="I105" s="35" t="s">
        <v>132</v>
      </c>
      <c r="J105" s="35" t="s">
        <v>401</v>
      </c>
      <c r="K105" s="35" t="s">
        <v>53</v>
      </c>
      <c r="L105" s="35" t="s">
        <v>54</v>
      </c>
      <c r="M105" s="35" t="s">
        <v>45</v>
      </c>
      <c r="N105" s="35" t="s">
        <v>46</v>
      </c>
      <c r="O105" s="35" t="s">
        <v>47</v>
      </c>
      <c r="P105" s="35" t="s">
        <v>56</v>
      </c>
      <c r="Q105" s="35" t="s">
        <v>58</v>
      </c>
      <c r="R105" s="35" t="s">
        <v>56</v>
      </c>
      <c r="S105" s="36">
        <v>46095</v>
      </c>
      <c r="T105" s="36"/>
      <c r="U105" s="35" t="s">
        <v>56</v>
      </c>
      <c r="V105" s="35" t="s">
        <v>143</v>
      </c>
      <c r="W105" s="35" t="s">
        <v>441</v>
      </c>
      <c r="X105" s="36">
        <v>46185</v>
      </c>
      <c r="Y105" s="35" t="s">
        <v>343</v>
      </c>
      <c r="Z105" s="4">
        <f>IF(tblEnrollment[[#This Row],[Approved Date]]="",DATE(2026,6,3)-tblEnrollment[[#This Row],[Submitted Date]],tblEnrollment[[#This Row],[Approved Date]]-tblEnrollment[[#This Row],[Submitted Date]])</f>
        <v>81</v>
      </c>
      <c r="AA105" s="4" t="str">
        <f>IF(tblEnrollment[[#This Row],[Current Status]] ="Ready","Completed",IF(Z105&gt;21,"SLA Breached","Within SLA"))</f>
        <v>SLA Breached</v>
      </c>
      <c r="AB105" s="4" t="str">
        <f>IF(tblEnrollment[[#This Row],[Credentialed NPI]] =tblEnrollment[[#This Row],[Enrolled NPI]],"NPI Match","NPI Mismatch")</f>
        <v>NPI Match</v>
      </c>
      <c r="AC105" s="4" t="str">
        <f>IF(OR(tblEnrollment[[#This Row],[Blocker Reason]] ="Individual NPI used instead of Group NPI",tblEnrollment[[#This Row],[Blocker Reason]] ="Credentialed NPI mismatch",tblEnrollment[[#This Row],[Blocker Reason]] ="Incorrect PTAN/Provider number"),"Yes","No")</f>
        <v>No</v>
      </c>
      <c r="AD105" s="4" t="str">
        <f>IF(OR(tblEnrollment[[#This Row],[Blocker Reason]] ="Wrong Payer ID",tblEnrollment[[#This Row],[Blocker Reason]] ="Old Payer ID used"),"Yes","No")</f>
        <v>No</v>
      </c>
      <c r="AE105" s="4" t="str">
        <f>IF(OR(tblEnrollment[[#This Row],[Clearinghouse Portal Updated]]="No",tblEnrollment[[#This Row],[Blocker Reason]] ="Clearinghouse portal not updated"),"Yes","No")</f>
        <v>Yes</v>
      </c>
      <c r="AF10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0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Status]]="Completed",AB105="NPI Match"),"Ready","Not Ready"),"Not Applicable")</f>
        <v>Not Ready</v>
      </c>
      <c r="AH105" s="4" t="str">
        <f>IF(OR(tblEnrollment[[#This Row],[Enrollment Type]]="ERA",tblEnrollment[[#This Row],[Enrollment Type]]="Claims and ERA"),IF(AND(tblEnrollment[[#This Row],[Credentialing Status]]="Completed",tblEnrollment[[#This Row],[ERA Enrollment Status]]="Approved",tblEnrollment[[#This Row],[Clearinghouse Configuration Status]]="Completed",AB105="NPI Match"),"Ready","Not Ready"),"Not Applicable")</f>
        <v>Not Ready</v>
      </c>
      <c r="AI105" s="4" t="str">
        <f>IF(tblEnrollment[[#This Row],[Blocker Reason]] ="No Blocker","No","Yes")</f>
        <v>Yes</v>
      </c>
    </row>
    <row r="106" spans="1:35" ht="29">
      <c r="A106" s="35" t="s">
        <v>743</v>
      </c>
      <c r="B106" s="35" t="s">
        <v>76</v>
      </c>
      <c r="C106" s="35" t="s">
        <v>744</v>
      </c>
      <c r="D106" s="35" t="s">
        <v>745</v>
      </c>
      <c r="E106" s="35" t="s">
        <v>98</v>
      </c>
      <c r="F106" s="35" t="s">
        <v>98</v>
      </c>
      <c r="G106" s="35" t="s">
        <v>98</v>
      </c>
      <c r="H106" s="35" t="s">
        <v>685</v>
      </c>
      <c r="I106" s="35" t="s">
        <v>131</v>
      </c>
      <c r="J106" s="35" t="s">
        <v>434</v>
      </c>
      <c r="K106" s="35" t="s">
        <v>53</v>
      </c>
      <c r="L106" s="35" t="s">
        <v>54</v>
      </c>
      <c r="M106" s="35" t="s">
        <v>45</v>
      </c>
      <c r="N106" s="35" t="s">
        <v>46</v>
      </c>
      <c r="O106" s="35" t="s">
        <v>138</v>
      </c>
      <c r="P106" s="35" t="s">
        <v>138</v>
      </c>
      <c r="Q106" s="35" t="s">
        <v>48</v>
      </c>
      <c r="R106" s="35" t="s">
        <v>140</v>
      </c>
      <c r="S106" s="36">
        <v>46061</v>
      </c>
      <c r="T106" s="36"/>
      <c r="U106" s="35" t="s">
        <v>141</v>
      </c>
      <c r="V106" s="35" t="s">
        <v>329</v>
      </c>
      <c r="W106" s="35" t="s">
        <v>330</v>
      </c>
      <c r="X106" s="36">
        <v>46186</v>
      </c>
      <c r="Y106" s="35" t="s">
        <v>331</v>
      </c>
      <c r="Z106" s="4">
        <f>IF(tblEnrollment[[#This Row],[Approved Date]]="",DATE(2026,6,3)-tblEnrollment[[#This Row],[Submitted Date]],tblEnrollment[[#This Row],[Approved Date]]-tblEnrollment[[#This Row],[Submitted Date]])</f>
        <v>115</v>
      </c>
      <c r="AA106" s="4" t="str">
        <f>IF(tblEnrollment[[#This Row],[Current Status]] ="Ready","Completed",IF(Z106&gt;21,"SLA Breached","Within SLA"))</f>
        <v>SLA Breached</v>
      </c>
      <c r="AB106" s="4" t="str">
        <f>IF(tblEnrollment[[#This Row],[Credentialed NPI]] =tblEnrollment[[#This Row],[Enrolled NPI]],"NPI Match","NPI Mismatch")</f>
        <v>NPI Match</v>
      </c>
      <c r="AC106" s="4" t="str">
        <f>IF(OR(tblEnrollment[[#This Row],[Blocker Reason]] ="Individual NPI used instead of Group NPI",tblEnrollment[[#This Row],[Blocker Reason]] ="Credentialed NPI mismatch",tblEnrollment[[#This Row],[Blocker Reason]] ="Incorrect PTAN/Provider number"),"Yes","No")</f>
        <v>No</v>
      </c>
      <c r="AD106" s="4" t="str">
        <f>IF(OR(tblEnrollment[[#This Row],[Blocker Reason]] ="Wrong Payer ID",tblEnrollment[[#This Row],[Blocker Reason]] ="Old Payer ID used"),"Yes","No")</f>
        <v>Yes</v>
      </c>
      <c r="AE106" s="4" t="str">
        <f>IF(OR(tblEnrollment[[#This Row],[Clearinghouse Portal Updated]]="No",tblEnrollment[[#This Row],[Blocker Reason]] ="Clearinghouse portal not updated"),"Yes","No")</f>
        <v>No</v>
      </c>
      <c r="AF10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0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Status]]="Completed",AB106="NPI Match"),"Ready","Not Ready"),"Not Applicable")</f>
        <v>Not Ready</v>
      </c>
      <c r="AH106" s="4" t="str">
        <f>IF(OR(tblEnrollment[[#This Row],[Enrollment Type]]="ERA",tblEnrollment[[#This Row],[Enrollment Type]]="Claims and ERA"),IF(AND(tblEnrollment[[#This Row],[Credentialing Status]]="Completed",tblEnrollment[[#This Row],[ERA Enrollment Status]]="Approved",tblEnrollment[[#This Row],[Clearinghouse Configuration Status]]="Completed",AB106="NPI Match"),"Ready","Not Ready"),"Not Applicable")</f>
        <v>Not Ready</v>
      </c>
      <c r="AI106" s="4" t="str">
        <f>IF(tblEnrollment[[#This Row],[Blocker Reason]] ="No Blocker","No","Yes")</f>
        <v>Yes</v>
      </c>
    </row>
    <row r="107" spans="1:35" ht="29">
      <c r="A107" s="35" t="s">
        <v>746</v>
      </c>
      <c r="B107" s="35" t="s">
        <v>340</v>
      </c>
      <c r="C107" s="35" t="s">
        <v>747</v>
      </c>
      <c r="D107" s="35" t="s">
        <v>748</v>
      </c>
      <c r="E107" s="35" t="s">
        <v>506</v>
      </c>
      <c r="F107" s="35" t="s">
        <v>506</v>
      </c>
      <c r="G107" s="35" t="s">
        <v>506</v>
      </c>
      <c r="H107" s="35" t="s">
        <v>127</v>
      </c>
      <c r="I107" s="35" t="s">
        <v>51</v>
      </c>
      <c r="J107" s="35" t="s">
        <v>52</v>
      </c>
      <c r="K107" s="35" t="s">
        <v>53</v>
      </c>
      <c r="L107" s="35" t="s">
        <v>54</v>
      </c>
      <c r="M107" s="35" t="s">
        <v>45</v>
      </c>
      <c r="N107" s="35" t="s">
        <v>46</v>
      </c>
      <c r="O107" s="35" t="s">
        <v>47</v>
      </c>
      <c r="P107" s="35" t="s">
        <v>47</v>
      </c>
      <c r="Q107" s="35" t="s">
        <v>48</v>
      </c>
      <c r="R107" s="35" t="s">
        <v>46</v>
      </c>
      <c r="S107" s="36">
        <v>46112</v>
      </c>
      <c r="T107" s="36">
        <v>46124</v>
      </c>
      <c r="U107" s="35" t="s">
        <v>49</v>
      </c>
      <c r="V107" s="35" t="s">
        <v>348</v>
      </c>
      <c r="W107" s="35" t="s">
        <v>349</v>
      </c>
      <c r="X107" s="36">
        <v>46187</v>
      </c>
      <c r="Y107" s="35" t="s">
        <v>350</v>
      </c>
      <c r="Z107" s="4">
        <f>IF(tblEnrollment[[#This Row],[Approved Date]]="",DATE(2026,6,3)-tblEnrollment[[#This Row],[Submitted Date]],tblEnrollment[[#This Row],[Approved Date]]-tblEnrollment[[#This Row],[Submitted Date]])</f>
        <v>12</v>
      </c>
      <c r="AA107" s="4" t="str">
        <f>IF(tblEnrollment[[#This Row],[Current Status]] ="Ready","Completed",IF(Z107&gt;21,"SLA Breached","Within SLA"))</f>
        <v>Completed</v>
      </c>
      <c r="AB107" s="4" t="str">
        <f>IF(tblEnrollment[[#This Row],[Credentialed NPI]] =tblEnrollment[[#This Row],[Enrolled NPI]],"NPI Match","NPI Mismatch")</f>
        <v>NPI Match</v>
      </c>
      <c r="AC107" s="4" t="str">
        <f>IF(OR(tblEnrollment[[#This Row],[Blocker Reason]] ="Individual NPI used instead of Group NPI",tblEnrollment[[#This Row],[Blocker Reason]] ="Credentialed NPI mismatch",tblEnrollment[[#This Row],[Blocker Reason]] ="Incorrect PTAN/Provider number"),"Yes","No")</f>
        <v>No</v>
      </c>
      <c r="AD107" s="4" t="str">
        <f>IF(OR(tblEnrollment[[#This Row],[Blocker Reason]] ="Wrong Payer ID",tblEnrollment[[#This Row],[Blocker Reason]] ="Old Payer ID used"),"Yes","No")</f>
        <v>No</v>
      </c>
      <c r="AE107" s="4" t="str">
        <f>IF(OR(tblEnrollment[[#This Row],[Clearinghouse Portal Updated]]="No",tblEnrollment[[#This Row],[Blocker Reason]] ="Clearinghouse portal not updated"),"Yes","No")</f>
        <v>No</v>
      </c>
      <c r="AF10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0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Status]]="Completed",AB107="NPI Match"),"Ready","Not Ready"),"Not Applicable")</f>
        <v>Ready</v>
      </c>
      <c r="AH107" s="4" t="str">
        <f>IF(OR(tblEnrollment[[#This Row],[Enrollment Type]]="ERA",tblEnrollment[[#This Row],[Enrollment Type]]="Claims and ERA"),IF(AND(tblEnrollment[[#This Row],[Credentialing Status]]="Completed",tblEnrollment[[#This Row],[ERA Enrollment Status]]="Approved",tblEnrollment[[#This Row],[Clearinghouse Configuration Status]]="Completed",AB107="NPI Match"),"Ready","Not Ready"),"Not Applicable")</f>
        <v>Ready</v>
      </c>
      <c r="AI107" s="4" t="str">
        <f>IF(tblEnrollment[[#This Row],[Blocker Reason]] ="No Blocker","No","Yes")</f>
        <v>No</v>
      </c>
    </row>
    <row r="108" spans="1:35" ht="29">
      <c r="A108" s="35" t="s">
        <v>749</v>
      </c>
      <c r="B108" s="35" t="s">
        <v>63</v>
      </c>
      <c r="C108" s="35" t="s">
        <v>542</v>
      </c>
      <c r="D108" s="35" t="s">
        <v>750</v>
      </c>
      <c r="E108" s="35" t="s">
        <v>405</v>
      </c>
      <c r="F108" s="35" t="s">
        <v>405</v>
      </c>
      <c r="G108" s="35" t="s">
        <v>405</v>
      </c>
      <c r="H108" s="35" t="s">
        <v>619</v>
      </c>
      <c r="I108" s="35" t="s">
        <v>51</v>
      </c>
      <c r="J108" s="35" t="s">
        <v>52</v>
      </c>
      <c r="K108" s="35" t="s">
        <v>53</v>
      </c>
      <c r="L108" s="35" t="s">
        <v>54</v>
      </c>
      <c r="M108" s="35" t="s">
        <v>45</v>
      </c>
      <c r="N108" s="35" t="s">
        <v>46</v>
      </c>
      <c r="O108" s="35" t="s">
        <v>56</v>
      </c>
      <c r="P108" s="35" t="s">
        <v>56</v>
      </c>
      <c r="Q108" s="35" t="s">
        <v>48</v>
      </c>
      <c r="R108" s="35" t="s">
        <v>137</v>
      </c>
      <c r="S108" s="36">
        <v>46079</v>
      </c>
      <c r="T108" s="36"/>
      <c r="U108" s="35" t="s">
        <v>56</v>
      </c>
      <c r="V108" s="35" t="s">
        <v>148</v>
      </c>
      <c r="W108" s="35" t="s">
        <v>349</v>
      </c>
      <c r="X108" s="36">
        <v>46180</v>
      </c>
      <c r="Y108" s="35" t="s">
        <v>359</v>
      </c>
      <c r="Z108" s="4">
        <f>IF(tblEnrollment[[#This Row],[Approved Date]]="",DATE(2026,6,3)-tblEnrollment[[#This Row],[Submitted Date]],tblEnrollment[[#This Row],[Approved Date]]-tblEnrollment[[#This Row],[Submitted Date]])</f>
        <v>97</v>
      </c>
      <c r="AA108" s="4" t="str">
        <f>IF(tblEnrollment[[#This Row],[Current Status]] ="Ready","Completed",IF(Z108&gt;21,"SLA Breached","Within SLA"))</f>
        <v>SLA Breached</v>
      </c>
      <c r="AB108" s="4" t="str">
        <f>IF(tblEnrollment[[#This Row],[Credentialed NPI]] =tblEnrollment[[#This Row],[Enrolled NPI]],"NPI Match","NPI Mismatch")</f>
        <v>NPI Match</v>
      </c>
      <c r="AC108" s="4" t="str">
        <f>IF(OR(tblEnrollment[[#This Row],[Blocker Reason]] ="Individual NPI used instead of Group NPI",tblEnrollment[[#This Row],[Blocker Reason]] ="Credentialed NPI mismatch",tblEnrollment[[#This Row],[Blocker Reason]] ="Incorrect PTAN/Provider number"),"Yes","No")</f>
        <v>No</v>
      </c>
      <c r="AD108" s="4" t="str">
        <f>IF(OR(tblEnrollment[[#This Row],[Blocker Reason]] ="Wrong Payer ID",tblEnrollment[[#This Row],[Blocker Reason]] ="Old Payer ID used"),"Yes","No")</f>
        <v>No</v>
      </c>
      <c r="AE108" s="4" t="str">
        <f>IF(OR(tblEnrollment[[#This Row],[Clearinghouse Portal Updated]]="No",tblEnrollment[[#This Row],[Blocker Reason]] ="Clearinghouse portal not updated"),"Yes","No")</f>
        <v>No</v>
      </c>
      <c r="AF10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0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Status]]="Completed",AB108="NPI Match"),"Ready","Not Ready"),"Not Applicable")</f>
        <v>Not Ready</v>
      </c>
      <c r="AH108" s="4" t="str">
        <f>IF(OR(tblEnrollment[[#This Row],[Enrollment Type]]="ERA",tblEnrollment[[#This Row],[Enrollment Type]]="Claims and ERA"),IF(AND(tblEnrollment[[#This Row],[Credentialing Status]]="Completed",tblEnrollment[[#This Row],[ERA Enrollment Status]]="Approved",tblEnrollment[[#This Row],[Clearinghouse Configuration Status]]="Completed",AB108="NPI Match"),"Ready","Not Ready"),"Not Applicable")</f>
        <v>Not Ready</v>
      </c>
      <c r="AI108" s="4" t="str">
        <f>IF(tblEnrollment[[#This Row],[Blocker Reason]] ="No Blocker","No","Yes")</f>
        <v>Yes</v>
      </c>
    </row>
    <row r="109" spans="1:35" ht="29">
      <c r="A109" s="35" t="s">
        <v>751</v>
      </c>
      <c r="B109" s="35" t="s">
        <v>79</v>
      </c>
      <c r="C109" s="35" t="s">
        <v>752</v>
      </c>
      <c r="D109" s="35" t="s">
        <v>753</v>
      </c>
      <c r="E109" s="35" t="s">
        <v>89</v>
      </c>
      <c r="F109" s="35" t="s">
        <v>89</v>
      </c>
      <c r="G109" s="35" t="s">
        <v>89</v>
      </c>
      <c r="H109" s="35" t="s">
        <v>356</v>
      </c>
      <c r="I109" s="35" t="s">
        <v>130</v>
      </c>
      <c r="J109" s="35" t="s">
        <v>393</v>
      </c>
      <c r="K109" s="35" t="s">
        <v>53</v>
      </c>
      <c r="L109" s="35" t="s">
        <v>54</v>
      </c>
      <c r="M109" s="35" t="s">
        <v>45</v>
      </c>
      <c r="N109" s="35" t="s">
        <v>46</v>
      </c>
      <c r="O109" s="35" t="s">
        <v>47</v>
      </c>
      <c r="P109" s="35" t="s">
        <v>47</v>
      </c>
      <c r="Q109" s="35" t="s">
        <v>48</v>
      </c>
      <c r="R109" s="35" t="s">
        <v>46</v>
      </c>
      <c r="S109" s="36">
        <v>46094</v>
      </c>
      <c r="T109" s="36">
        <v>46114</v>
      </c>
      <c r="U109" s="35" t="s">
        <v>49</v>
      </c>
      <c r="V109" s="35" t="s">
        <v>348</v>
      </c>
      <c r="W109" s="35" t="s">
        <v>349</v>
      </c>
      <c r="X109" s="36">
        <v>46186</v>
      </c>
      <c r="Y109" s="35" t="s">
        <v>350</v>
      </c>
      <c r="Z109" s="4">
        <f>IF(tblEnrollment[[#This Row],[Approved Date]]="",DATE(2026,6,3)-tblEnrollment[[#This Row],[Submitted Date]],tblEnrollment[[#This Row],[Approved Date]]-tblEnrollment[[#This Row],[Submitted Date]])</f>
        <v>20</v>
      </c>
      <c r="AA109" s="4" t="str">
        <f>IF(tblEnrollment[[#This Row],[Current Status]] ="Ready","Completed",IF(Z109&gt;21,"SLA Breached","Within SLA"))</f>
        <v>Completed</v>
      </c>
      <c r="AB109" s="4" t="str">
        <f>IF(tblEnrollment[[#This Row],[Credentialed NPI]] =tblEnrollment[[#This Row],[Enrolled NPI]],"NPI Match","NPI Mismatch")</f>
        <v>NPI Match</v>
      </c>
      <c r="AC109" s="4" t="str">
        <f>IF(OR(tblEnrollment[[#This Row],[Blocker Reason]] ="Individual NPI used instead of Group NPI",tblEnrollment[[#This Row],[Blocker Reason]] ="Credentialed NPI mismatch",tblEnrollment[[#This Row],[Blocker Reason]] ="Incorrect PTAN/Provider number"),"Yes","No")</f>
        <v>No</v>
      </c>
      <c r="AD109" s="4" t="str">
        <f>IF(OR(tblEnrollment[[#This Row],[Blocker Reason]] ="Wrong Payer ID",tblEnrollment[[#This Row],[Blocker Reason]] ="Old Payer ID used"),"Yes","No")</f>
        <v>No</v>
      </c>
      <c r="AE109" s="4" t="str">
        <f>IF(OR(tblEnrollment[[#This Row],[Clearinghouse Portal Updated]]="No",tblEnrollment[[#This Row],[Blocker Reason]] ="Clearinghouse portal not updated"),"Yes","No")</f>
        <v>No</v>
      </c>
      <c r="AF10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0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Status]]="Completed",AB109="NPI Match"),"Ready","Not Ready"),"Not Applicable")</f>
        <v>Ready</v>
      </c>
      <c r="AH109" s="4" t="str">
        <f>IF(OR(tblEnrollment[[#This Row],[Enrollment Type]]="ERA",tblEnrollment[[#This Row],[Enrollment Type]]="Claims and ERA"),IF(AND(tblEnrollment[[#This Row],[Credentialing Status]]="Completed",tblEnrollment[[#This Row],[ERA Enrollment Status]]="Approved",tblEnrollment[[#This Row],[Clearinghouse Configuration Status]]="Completed",AB109="NPI Match"),"Ready","Not Ready"),"Not Applicable")</f>
        <v>Ready</v>
      </c>
      <c r="AI109" s="4" t="str">
        <f>IF(tblEnrollment[[#This Row],[Blocker Reason]] ="No Blocker","No","Yes")</f>
        <v>No</v>
      </c>
    </row>
    <row r="110" spans="1:35" ht="29">
      <c r="A110" s="35" t="s">
        <v>754</v>
      </c>
      <c r="B110" s="35" t="s">
        <v>60</v>
      </c>
      <c r="C110" s="35" t="s">
        <v>755</v>
      </c>
      <c r="D110" s="35" t="s">
        <v>756</v>
      </c>
      <c r="E110" s="35" t="s">
        <v>98</v>
      </c>
      <c r="F110" s="35" t="s">
        <v>98</v>
      </c>
      <c r="G110" s="35" t="s">
        <v>98</v>
      </c>
      <c r="H110" s="35" t="s">
        <v>593</v>
      </c>
      <c r="I110" s="35" t="s">
        <v>346</v>
      </c>
      <c r="J110" s="35" t="s">
        <v>347</v>
      </c>
      <c r="K110" s="35" t="s">
        <v>53</v>
      </c>
      <c r="L110" s="35" t="s">
        <v>54</v>
      </c>
      <c r="M110" s="35" t="s">
        <v>55</v>
      </c>
      <c r="N110" s="35" t="s">
        <v>46</v>
      </c>
      <c r="O110" s="35" t="s">
        <v>47</v>
      </c>
      <c r="P110" s="35" t="s">
        <v>139</v>
      </c>
      <c r="Q110" s="35" t="s">
        <v>58</v>
      </c>
      <c r="R110" s="35" t="s">
        <v>56</v>
      </c>
      <c r="S110" s="36">
        <v>46104</v>
      </c>
      <c r="T110" s="36"/>
      <c r="U110" s="35" t="s">
        <v>56</v>
      </c>
      <c r="V110" s="35" t="s">
        <v>143</v>
      </c>
      <c r="W110" s="35" t="s">
        <v>349</v>
      </c>
      <c r="X110" s="36">
        <v>46185</v>
      </c>
      <c r="Y110" s="35" t="s">
        <v>343</v>
      </c>
      <c r="Z110" s="4">
        <f>IF(tblEnrollment[[#This Row],[Approved Date]]="",DATE(2026,6,3)-tblEnrollment[[#This Row],[Submitted Date]],tblEnrollment[[#This Row],[Approved Date]]-tblEnrollment[[#This Row],[Submitted Date]])</f>
        <v>72</v>
      </c>
      <c r="AA110" s="4" t="str">
        <f>IF(tblEnrollment[[#This Row],[Current Status]] ="Ready","Completed",IF(Z110&gt;21,"SLA Breached","Within SLA"))</f>
        <v>SLA Breached</v>
      </c>
      <c r="AB110" s="4" t="str">
        <f>IF(tblEnrollment[[#This Row],[Credentialed NPI]] =tblEnrollment[[#This Row],[Enrolled NPI]],"NPI Match","NPI Mismatch")</f>
        <v>NPI Match</v>
      </c>
      <c r="AC110" s="4" t="str">
        <f>IF(OR(tblEnrollment[[#This Row],[Blocker Reason]] ="Individual NPI used instead of Group NPI",tblEnrollment[[#This Row],[Blocker Reason]] ="Credentialed NPI mismatch",tblEnrollment[[#This Row],[Blocker Reason]] ="Incorrect PTAN/Provider number"),"Yes","No")</f>
        <v>No</v>
      </c>
      <c r="AD110" s="4" t="str">
        <f>IF(OR(tblEnrollment[[#This Row],[Blocker Reason]] ="Wrong Payer ID",tblEnrollment[[#This Row],[Blocker Reason]] ="Old Payer ID used"),"Yes","No")</f>
        <v>No</v>
      </c>
      <c r="AE110" s="4" t="str">
        <f>IF(OR(tblEnrollment[[#This Row],[Clearinghouse Portal Updated]]="No",tblEnrollment[[#This Row],[Blocker Reason]] ="Clearinghouse portal not updated"),"Yes","No")</f>
        <v>Yes</v>
      </c>
      <c r="AF11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1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Status]]="Completed",AB110="NPI Match"),"Ready","Not Ready"),"Not Applicable")</f>
        <v>Not Ready</v>
      </c>
      <c r="AH110" s="4" t="str">
        <f>IF(OR(tblEnrollment[[#This Row],[Enrollment Type]]="ERA",tblEnrollment[[#This Row],[Enrollment Type]]="Claims and ERA"),IF(AND(tblEnrollment[[#This Row],[Credentialing Status]]="Completed",tblEnrollment[[#This Row],[ERA Enrollment Status]]="Approved",tblEnrollment[[#This Row],[Clearinghouse Configuration Status]]="Completed",AB110="NPI Match"),"Ready","Not Ready"),"Not Applicable")</f>
        <v>Not Applicable</v>
      </c>
      <c r="AI110" s="4" t="str">
        <f>IF(tblEnrollment[[#This Row],[Blocker Reason]] ="No Blocker","No","Yes")</f>
        <v>Yes</v>
      </c>
    </row>
    <row r="111" spans="1:35" ht="29">
      <c r="A111" s="35" t="s">
        <v>757</v>
      </c>
      <c r="B111" s="35" t="s">
        <v>61</v>
      </c>
      <c r="C111" s="35" t="s">
        <v>758</v>
      </c>
      <c r="D111" s="35" t="s">
        <v>759</v>
      </c>
      <c r="E111" s="35" t="s">
        <v>83</v>
      </c>
      <c r="F111" s="35" t="s">
        <v>83</v>
      </c>
      <c r="G111" s="35" t="s">
        <v>760</v>
      </c>
      <c r="H111" s="35" t="s">
        <v>606</v>
      </c>
      <c r="I111" s="35" t="s">
        <v>346</v>
      </c>
      <c r="J111" s="35" t="s">
        <v>347</v>
      </c>
      <c r="K111" s="35" t="s">
        <v>53</v>
      </c>
      <c r="L111" s="35" t="s">
        <v>54</v>
      </c>
      <c r="M111" s="35" t="s">
        <v>45</v>
      </c>
      <c r="N111" s="35" t="s">
        <v>46</v>
      </c>
      <c r="O111" s="35" t="s">
        <v>138</v>
      </c>
      <c r="P111" s="35" t="s">
        <v>138</v>
      </c>
      <c r="Q111" s="35" t="s">
        <v>48</v>
      </c>
      <c r="R111" s="35" t="s">
        <v>140</v>
      </c>
      <c r="S111" s="36">
        <v>46093</v>
      </c>
      <c r="T111" s="36"/>
      <c r="U111" s="35" t="s">
        <v>141</v>
      </c>
      <c r="V111" s="35" t="s">
        <v>144</v>
      </c>
      <c r="W111" s="35" t="s">
        <v>330</v>
      </c>
      <c r="X111" s="36">
        <v>46186</v>
      </c>
      <c r="Y111" s="35" t="s">
        <v>389</v>
      </c>
      <c r="Z111" s="4">
        <f>IF(tblEnrollment[[#This Row],[Approved Date]]="",DATE(2026,6,3)-tblEnrollment[[#This Row],[Submitted Date]],tblEnrollment[[#This Row],[Approved Date]]-tblEnrollment[[#This Row],[Submitted Date]])</f>
        <v>83</v>
      </c>
      <c r="AA111" s="4" t="str">
        <f>IF(tblEnrollment[[#This Row],[Current Status]] ="Ready","Completed",IF(Z111&gt;21,"SLA Breached","Within SLA"))</f>
        <v>SLA Breached</v>
      </c>
      <c r="AB111" s="4" t="str">
        <f>IF(tblEnrollment[[#This Row],[Credentialed NPI]] =tblEnrollment[[#This Row],[Enrolled NPI]],"NPI Match","NPI Mismatch")</f>
        <v>NPI Mismatch</v>
      </c>
      <c r="AC111" s="4" t="str">
        <f>IF(OR(tblEnrollment[[#This Row],[Blocker Reason]] ="Individual NPI used instead of Group NPI",tblEnrollment[[#This Row],[Blocker Reason]] ="Credentialed NPI mismatch",tblEnrollment[[#This Row],[Blocker Reason]] ="Incorrect PTAN/Provider number"),"Yes","No")</f>
        <v>Yes</v>
      </c>
      <c r="AD111" s="4" t="str">
        <f>IF(OR(tblEnrollment[[#This Row],[Blocker Reason]] ="Wrong Payer ID",tblEnrollment[[#This Row],[Blocker Reason]] ="Old Payer ID used"),"Yes","No")</f>
        <v>No</v>
      </c>
      <c r="AE111" s="4" t="str">
        <f>IF(OR(tblEnrollment[[#This Row],[Clearinghouse Portal Updated]]="No",tblEnrollment[[#This Row],[Blocker Reason]] ="Clearinghouse portal not updated"),"Yes","No")</f>
        <v>No</v>
      </c>
      <c r="AF11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1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Status]]="Completed",AB111="NPI Match"),"Ready","Not Ready"),"Not Applicable")</f>
        <v>Not Ready</v>
      </c>
      <c r="AH111" s="4" t="str">
        <f>IF(OR(tblEnrollment[[#This Row],[Enrollment Type]]="ERA",tblEnrollment[[#This Row],[Enrollment Type]]="Claims and ERA"),IF(AND(tblEnrollment[[#This Row],[Credentialing Status]]="Completed",tblEnrollment[[#This Row],[ERA Enrollment Status]]="Approved",tblEnrollment[[#This Row],[Clearinghouse Configuration Status]]="Completed",AB111="NPI Match"),"Ready","Not Ready"),"Not Applicable")</f>
        <v>Not Ready</v>
      </c>
      <c r="AI111" s="4" t="str">
        <f>IF(tblEnrollment[[#This Row],[Blocker Reason]] ="No Blocker","No","Yes")</f>
        <v>Yes</v>
      </c>
    </row>
    <row r="112" spans="1:35" ht="29">
      <c r="A112" s="35" t="s">
        <v>761</v>
      </c>
      <c r="B112" s="35" t="s">
        <v>471</v>
      </c>
      <c r="C112" s="35" t="s">
        <v>733</v>
      </c>
      <c r="D112" s="35" t="s">
        <v>762</v>
      </c>
      <c r="E112" s="35" t="s">
        <v>560</v>
      </c>
      <c r="F112" s="35" t="s">
        <v>560</v>
      </c>
      <c r="G112" s="35" t="s">
        <v>560</v>
      </c>
      <c r="H112" s="35" t="s">
        <v>117</v>
      </c>
      <c r="I112" s="35" t="s">
        <v>43</v>
      </c>
      <c r="J112" s="35" t="s">
        <v>357</v>
      </c>
      <c r="K112" s="35" t="s">
        <v>44</v>
      </c>
      <c r="L112" s="35" t="s">
        <v>763</v>
      </c>
      <c r="M112" s="35" t="s">
        <v>55</v>
      </c>
      <c r="N112" s="35" t="s">
        <v>46</v>
      </c>
      <c r="O112" s="35" t="s">
        <v>138</v>
      </c>
      <c r="P112" s="35" t="s">
        <v>139</v>
      </c>
      <c r="Q112" s="35" t="s">
        <v>48</v>
      </c>
      <c r="R112" s="35" t="s">
        <v>137</v>
      </c>
      <c r="S112" s="36">
        <v>46114</v>
      </c>
      <c r="T112" s="36"/>
      <c r="U112" s="35" t="s">
        <v>56</v>
      </c>
      <c r="V112" s="35" t="s">
        <v>151</v>
      </c>
      <c r="W112" s="35" t="s">
        <v>330</v>
      </c>
      <c r="X112" s="36">
        <v>46183</v>
      </c>
      <c r="Y112" s="35" t="s">
        <v>373</v>
      </c>
      <c r="Z112" s="4">
        <f>IF(tblEnrollment[[#This Row],[Approved Date]]="",DATE(2026,6,3)-tblEnrollment[[#This Row],[Submitted Date]],tblEnrollment[[#This Row],[Approved Date]]-tblEnrollment[[#This Row],[Submitted Date]])</f>
        <v>62</v>
      </c>
      <c r="AA112" s="4" t="str">
        <f>IF(tblEnrollment[[#This Row],[Current Status]] ="Ready","Completed",IF(Z112&gt;21,"SLA Breached","Within SLA"))</f>
        <v>SLA Breached</v>
      </c>
      <c r="AB112" s="4" t="str">
        <f>IF(tblEnrollment[[#This Row],[Credentialed NPI]] =tblEnrollment[[#This Row],[Enrolled NPI]],"NPI Match","NPI Mismatch")</f>
        <v>NPI Match</v>
      </c>
      <c r="AC112" s="4" t="str">
        <f>IF(OR(tblEnrollment[[#This Row],[Blocker Reason]] ="Individual NPI used instead of Group NPI",tblEnrollment[[#This Row],[Blocker Reason]] ="Credentialed NPI mismatch",tblEnrollment[[#This Row],[Blocker Reason]] ="Incorrect PTAN/Provider number"),"Yes","No")</f>
        <v>No</v>
      </c>
      <c r="AD112" s="4" t="str">
        <f>IF(OR(tblEnrollment[[#This Row],[Blocker Reason]] ="Wrong Payer ID",tblEnrollment[[#This Row],[Blocker Reason]] ="Old Payer ID used"),"Yes","No")</f>
        <v>No</v>
      </c>
      <c r="AE112" s="4" t="str">
        <f>IF(OR(tblEnrollment[[#This Row],[Clearinghouse Portal Updated]]="No",tblEnrollment[[#This Row],[Blocker Reason]] ="Clearinghouse portal not updated"),"Yes","No")</f>
        <v>No</v>
      </c>
      <c r="AF11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Yes</v>
      </c>
      <c r="AG11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Status]]="Completed",AB112="NPI Match"),"Ready","Not Ready"),"Not Applicable")</f>
        <v>Not Ready</v>
      </c>
      <c r="AH112" s="4" t="str">
        <f>IF(OR(tblEnrollment[[#This Row],[Enrollment Type]]="ERA",tblEnrollment[[#This Row],[Enrollment Type]]="Claims and ERA"),IF(AND(tblEnrollment[[#This Row],[Credentialing Status]]="Completed",tblEnrollment[[#This Row],[ERA Enrollment Status]]="Approved",tblEnrollment[[#This Row],[Clearinghouse Configuration Status]]="Completed",AB112="NPI Match"),"Ready","Not Ready"),"Not Applicable")</f>
        <v>Not Applicable</v>
      </c>
      <c r="AI112" s="4" t="str">
        <f>IF(tblEnrollment[[#This Row],[Blocker Reason]] ="No Blocker","No","Yes")</f>
        <v>Yes</v>
      </c>
    </row>
    <row r="113" spans="1:35" ht="29">
      <c r="A113" s="35" t="s">
        <v>764</v>
      </c>
      <c r="B113" s="35" t="s">
        <v>64</v>
      </c>
      <c r="C113" s="35" t="s">
        <v>765</v>
      </c>
      <c r="D113" s="35" t="s">
        <v>766</v>
      </c>
      <c r="E113" s="35" t="s">
        <v>386</v>
      </c>
      <c r="F113" s="35" t="s">
        <v>386</v>
      </c>
      <c r="G113" s="35" t="s">
        <v>386</v>
      </c>
      <c r="H113" s="35" t="s">
        <v>124</v>
      </c>
      <c r="I113" s="35" t="s">
        <v>130</v>
      </c>
      <c r="J113" s="35" t="s">
        <v>393</v>
      </c>
      <c r="K113" s="35" t="s">
        <v>53</v>
      </c>
      <c r="L113" s="35" t="s">
        <v>54</v>
      </c>
      <c r="M113" s="35" t="s">
        <v>136</v>
      </c>
      <c r="N113" s="35" t="s">
        <v>46</v>
      </c>
      <c r="O113" s="35" t="s">
        <v>139</v>
      </c>
      <c r="P113" s="35" t="s">
        <v>56</v>
      </c>
      <c r="Q113" s="35" t="s">
        <v>48</v>
      </c>
      <c r="R113" s="35" t="s">
        <v>137</v>
      </c>
      <c r="S113" s="36">
        <v>46175</v>
      </c>
      <c r="T113" s="36"/>
      <c r="U113" s="35" t="s">
        <v>56</v>
      </c>
      <c r="V113" s="35" t="s">
        <v>364</v>
      </c>
      <c r="W113" s="35" t="s">
        <v>338</v>
      </c>
      <c r="X113" s="36">
        <v>46182</v>
      </c>
      <c r="Y113" s="35" t="s">
        <v>366</v>
      </c>
      <c r="Z113" s="4">
        <f>IF(tblEnrollment[[#This Row],[Approved Date]]="",DATE(2026,6,3)-tblEnrollment[[#This Row],[Submitted Date]],tblEnrollment[[#This Row],[Approved Date]]-tblEnrollment[[#This Row],[Submitted Date]])</f>
        <v>1</v>
      </c>
      <c r="AA113" s="4" t="str">
        <f>IF(tblEnrollment[[#This Row],[Current Status]] ="Ready","Completed",IF(Z113&gt;21,"SLA Breached","Within SLA"))</f>
        <v>Within SLA</v>
      </c>
      <c r="AB113" s="4" t="str">
        <f>IF(tblEnrollment[[#This Row],[Credentialed NPI]] =tblEnrollment[[#This Row],[Enrolled NPI]],"NPI Match","NPI Mismatch")</f>
        <v>NPI Match</v>
      </c>
      <c r="AC113" s="4" t="str">
        <f>IF(OR(tblEnrollment[[#This Row],[Blocker Reason]] ="Individual NPI used instead of Group NPI",tblEnrollment[[#This Row],[Blocker Reason]] ="Credentialed NPI mismatch",tblEnrollment[[#This Row],[Blocker Reason]] ="Incorrect PTAN/Provider number"),"Yes","No")</f>
        <v>No</v>
      </c>
      <c r="AD113" s="4" t="str">
        <f>IF(OR(tblEnrollment[[#This Row],[Blocker Reason]] ="Wrong Payer ID",tblEnrollment[[#This Row],[Blocker Reason]] ="Old Payer ID used"),"Yes","No")</f>
        <v>No</v>
      </c>
      <c r="AE113" s="4" t="str">
        <f>IF(OR(tblEnrollment[[#This Row],[Clearinghouse Portal Updated]]="No",tblEnrollment[[#This Row],[Blocker Reason]] ="Clearinghouse portal not updated"),"Yes","No")</f>
        <v>No</v>
      </c>
      <c r="AF11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1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Status]]="Completed",AB113="NPI Match"),"Ready","Not Ready"),"Not Applicable")</f>
        <v>Not Applicable</v>
      </c>
      <c r="AH113" s="4" t="str">
        <f>IF(OR(tblEnrollment[[#This Row],[Enrollment Type]]="ERA",tblEnrollment[[#This Row],[Enrollment Type]]="Claims and ERA"),IF(AND(tblEnrollment[[#This Row],[Credentialing Status]]="Completed",tblEnrollment[[#This Row],[ERA Enrollment Status]]="Approved",tblEnrollment[[#This Row],[Clearinghouse Configuration Status]]="Completed",AB113="NPI Match"),"Ready","Not Ready"),"Not Applicable")</f>
        <v>Not Ready</v>
      </c>
      <c r="AI113" s="4" t="str">
        <f>IF(tblEnrollment[[#This Row],[Blocker Reason]] ="No Blocker","No","Yes")</f>
        <v>Yes</v>
      </c>
    </row>
    <row r="114" spans="1:35" ht="29">
      <c r="A114" s="35" t="s">
        <v>767</v>
      </c>
      <c r="B114" s="35" t="s">
        <v>375</v>
      </c>
      <c r="C114" s="35" t="s">
        <v>768</v>
      </c>
      <c r="D114" s="35" t="s">
        <v>769</v>
      </c>
      <c r="E114" s="35" t="s">
        <v>88</v>
      </c>
      <c r="F114" s="35" t="s">
        <v>88</v>
      </c>
      <c r="G114" s="35" t="s">
        <v>769</v>
      </c>
      <c r="H114" s="35" t="s">
        <v>419</v>
      </c>
      <c r="I114" s="35" t="s">
        <v>132</v>
      </c>
      <c r="J114" s="35" t="s">
        <v>401</v>
      </c>
      <c r="K114" s="35" t="s">
        <v>53</v>
      </c>
      <c r="L114" s="35" t="s">
        <v>54</v>
      </c>
      <c r="M114" s="35" t="s">
        <v>45</v>
      </c>
      <c r="N114" s="35" t="s">
        <v>46</v>
      </c>
      <c r="O114" s="35" t="s">
        <v>138</v>
      </c>
      <c r="P114" s="35" t="s">
        <v>138</v>
      </c>
      <c r="Q114" s="35" t="s">
        <v>48</v>
      </c>
      <c r="R114" s="35" t="s">
        <v>140</v>
      </c>
      <c r="S114" s="36">
        <v>46108</v>
      </c>
      <c r="T114" s="36"/>
      <c r="U114" s="35" t="s">
        <v>141</v>
      </c>
      <c r="V114" s="35" t="s">
        <v>412</v>
      </c>
      <c r="W114" s="35" t="s">
        <v>441</v>
      </c>
      <c r="X114" s="36">
        <v>46176</v>
      </c>
      <c r="Y114" s="35" t="s">
        <v>413</v>
      </c>
      <c r="Z114" s="4">
        <f>IF(tblEnrollment[[#This Row],[Approved Date]]="",DATE(2026,6,3)-tblEnrollment[[#This Row],[Submitted Date]],tblEnrollment[[#This Row],[Approved Date]]-tblEnrollment[[#This Row],[Submitted Date]])</f>
        <v>68</v>
      </c>
      <c r="AA114" s="4" t="str">
        <f>IF(tblEnrollment[[#This Row],[Current Status]] ="Ready","Completed",IF(Z114&gt;21,"SLA Breached","Within SLA"))</f>
        <v>SLA Breached</v>
      </c>
      <c r="AB114" s="4" t="str">
        <f>IF(tblEnrollment[[#This Row],[Credentialed NPI]] =tblEnrollment[[#This Row],[Enrolled NPI]],"NPI Match","NPI Mismatch")</f>
        <v>NPI Mismatch</v>
      </c>
      <c r="AC114" s="4" t="str">
        <f>IF(OR(tblEnrollment[[#This Row],[Blocker Reason]] ="Individual NPI used instead of Group NPI",tblEnrollment[[#This Row],[Blocker Reason]] ="Credentialed NPI mismatch",tblEnrollment[[#This Row],[Blocker Reason]] ="Incorrect PTAN/Provider number"),"Yes","No")</f>
        <v>Yes</v>
      </c>
      <c r="AD114" s="4" t="str">
        <f>IF(OR(tblEnrollment[[#This Row],[Blocker Reason]] ="Wrong Payer ID",tblEnrollment[[#This Row],[Blocker Reason]] ="Old Payer ID used"),"Yes","No")</f>
        <v>No</v>
      </c>
      <c r="AE114" s="4" t="str">
        <f>IF(OR(tblEnrollment[[#This Row],[Clearinghouse Portal Updated]]="No",tblEnrollment[[#This Row],[Blocker Reason]] ="Clearinghouse portal not updated"),"Yes","No")</f>
        <v>No</v>
      </c>
      <c r="AF11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1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Status]]="Completed",AB114="NPI Match"),"Ready","Not Ready"),"Not Applicable")</f>
        <v>Not Ready</v>
      </c>
      <c r="AH114" s="4" t="str">
        <f>IF(OR(tblEnrollment[[#This Row],[Enrollment Type]]="ERA",tblEnrollment[[#This Row],[Enrollment Type]]="Claims and ERA"),IF(AND(tblEnrollment[[#This Row],[Credentialing Status]]="Completed",tblEnrollment[[#This Row],[ERA Enrollment Status]]="Approved",tblEnrollment[[#This Row],[Clearinghouse Configuration Status]]="Completed",AB114="NPI Match"),"Ready","Not Ready"),"Not Applicable")</f>
        <v>Not Ready</v>
      </c>
      <c r="AI114" s="4" t="str">
        <f>IF(tblEnrollment[[#This Row],[Blocker Reason]] ="No Blocker","No","Yes")</f>
        <v>Yes</v>
      </c>
    </row>
    <row r="115" spans="1:35" ht="29">
      <c r="A115" s="35" t="s">
        <v>770</v>
      </c>
      <c r="B115" s="35" t="s">
        <v>70</v>
      </c>
      <c r="C115" s="35" t="s">
        <v>771</v>
      </c>
      <c r="D115" s="35" t="s">
        <v>772</v>
      </c>
      <c r="E115" s="35" t="s">
        <v>105</v>
      </c>
      <c r="F115" s="35" t="s">
        <v>105</v>
      </c>
      <c r="G115" s="35" t="s">
        <v>772</v>
      </c>
      <c r="H115" s="35" t="s">
        <v>335</v>
      </c>
      <c r="I115" s="35" t="s">
        <v>43</v>
      </c>
      <c r="J115" s="35" t="s">
        <v>357</v>
      </c>
      <c r="K115" s="35" t="s">
        <v>44</v>
      </c>
      <c r="L115" s="35" t="s">
        <v>773</v>
      </c>
      <c r="M115" s="35" t="s">
        <v>45</v>
      </c>
      <c r="N115" s="35" t="s">
        <v>46</v>
      </c>
      <c r="O115" s="35" t="s">
        <v>138</v>
      </c>
      <c r="P115" s="35" t="s">
        <v>138</v>
      </c>
      <c r="Q115" s="35" t="s">
        <v>48</v>
      </c>
      <c r="R115" s="35" t="s">
        <v>140</v>
      </c>
      <c r="S115" s="36">
        <v>46128</v>
      </c>
      <c r="T115" s="36"/>
      <c r="U115" s="35" t="s">
        <v>141</v>
      </c>
      <c r="V115" s="35" t="s">
        <v>412</v>
      </c>
      <c r="W115" s="35" t="s">
        <v>349</v>
      </c>
      <c r="X115" s="36">
        <v>46176</v>
      </c>
      <c r="Y115" s="35" t="s">
        <v>413</v>
      </c>
      <c r="Z115" s="4">
        <f>IF(tblEnrollment[[#This Row],[Approved Date]]="",DATE(2026,6,3)-tblEnrollment[[#This Row],[Submitted Date]],tblEnrollment[[#This Row],[Approved Date]]-tblEnrollment[[#This Row],[Submitted Date]])</f>
        <v>48</v>
      </c>
      <c r="AA115" s="4" t="str">
        <f>IF(tblEnrollment[[#This Row],[Current Status]] ="Ready","Completed",IF(Z115&gt;21,"SLA Breached","Within SLA"))</f>
        <v>SLA Breached</v>
      </c>
      <c r="AB115" s="4" t="str">
        <f>IF(tblEnrollment[[#This Row],[Credentialed NPI]] =tblEnrollment[[#This Row],[Enrolled NPI]],"NPI Match","NPI Mismatch")</f>
        <v>NPI Mismatch</v>
      </c>
      <c r="AC115" s="4" t="str">
        <f>IF(OR(tblEnrollment[[#This Row],[Blocker Reason]] ="Individual NPI used instead of Group NPI",tblEnrollment[[#This Row],[Blocker Reason]] ="Credentialed NPI mismatch",tblEnrollment[[#This Row],[Blocker Reason]] ="Incorrect PTAN/Provider number"),"Yes","No")</f>
        <v>Yes</v>
      </c>
      <c r="AD115" s="4" t="str">
        <f>IF(OR(tblEnrollment[[#This Row],[Blocker Reason]] ="Wrong Payer ID",tblEnrollment[[#This Row],[Blocker Reason]] ="Old Payer ID used"),"Yes","No")</f>
        <v>No</v>
      </c>
      <c r="AE115" s="4" t="str">
        <f>IF(OR(tblEnrollment[[#This Row],[Clearinghouse Portal Updated]]="No",tblEnrollment[[#This Row],[Blocker Reason]] ="Clearinghouse portal not updated"),"Yes","No")</f>
        <v>No</v>
      </c>
      <c r="AF11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1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Status]]="Completed",AB115="NPI Match"),"Ready","Not Ready"),"Not Applicable")</f>
        <v>Not Ready</v>
      </c>
      <c r="AH115" s="4" t="str">
        <f>IF(OR(tblEnrollment[[#This Row],[Enrollment Type]]="ERA",tblEnrollment[[#This Row],[Enrollment Type]]="Claims and ERA"),IF(AND(tblEnrollment[[#This Row],[Credentialing Status]]="Completed",tblEnrollment[[#This Row],[ERA Enrollment Status]]="Approved",tblEnrollment[[#This Row],[Clearinghouse Configuration Status]]="Completed",AB115="NPI Match"),"Ready","Not Ready"),"Not Applicable")</f>
        <v>Not Ready</v>
      </c>
      <c r="AI115" s="4" t="str">
        <f>IF(tblEnrollment[[#This Row],[Blocker Reason]] ="No Blocker","No","Yes")</f>
        <v>Yes</v>
      </c>
    </row>
    <row r="116" spans="1:35" ht="29">
      <c r="A116" s="35" t="s">
        <v>774</v>
      </c>
      <c r="B116" s="35" t="s">
        <v>63</v>
      </c>
      <c r="C116" s="35" t="s">
        <v>775</v>
      </c>
      <c r="D116" s="35" t="s">
        <v>776</v>
      </c>
      <c r="E116" s="35" t="s">
        <v>427</v>
      </c>
      <c r="F116" s="35" t="s">
        <v>427</v>
      </c>
      <c r="G116" s="35" t="s">
        <v>427</v>
      </c>
      <c r="H116" s="35" t="s">
        <v>363</v>
      </c>
      <c r="I116" s="35" t="s">
        <v>43</v>
      </c>
      <c r="J116" s="35" t="s">
        <v>357</v>
      </c>
      <c r="K116" s="35" t="s">
        <v>44</v>
      </c>
      <c r="L116" s="35" t="s">
        <v>777</v>
      </c>
      <c r="M116" s="35" t="s">
        <v>45</v>
      </c>
      <c r="N116" s="35" t="s">
        <v>137</v>
      </c>
      <c r="O116" s="35" t="s">
        <v>57</v>
      </c>
      <c r="P116" s="35" t="s">
        <v>57</v>
      </c>
      <c r="Q116" s="35" t="s">
        <v>58</v>
      </c>
      <c r="R116" s="35" t="s">
        <v>57</v>
      </c>
      <c r="S116" s="36">
        <v>46042</v>
      </c>
      <c r="T116" s="36"/>
      <c r="U116" s="35" t="s">
        <v>56</v>
      </c>
      <c r="V116" s="35" t="s">
        <v>147</v>
      </c>
      <c r="W116" s="35" t="s">
        <v>441</v>
      </c>
      <c r="X116" s="36">
        <v>46176</v>
      </c>
      <c r="Y116" s="35" t="s">
        <v>406</v>
      </c>
      <c r="Z116" s="4">
        <f>IF(tblEnrollment[[#This Row],[Approved Date]]="",DATE(2026,6,3)-tblEnrollment[[#This Row],[Submitted Date]],tblEnrollment[[#This Row],[Approved Date]]-tblEnrollment[[#This Row],[Submitted Date]])</f>
        <v>134</v>
      </c>
      <c r="AA116" s="4" t="str">
        <f>IF(tblEnrollment[[#This Row],[Current Status]] ="Ready","Completed",IF(Z116&gt;21,"SLA Breached","Within SLA"))</f>
        <v>SLA Breached</v>
      </c>
      <c r="AB116" s="4" t="str">
        <f>IF(tblEnrollment[[#This Row],[Credentialed NPI]] =tblEnrollment[[#This Row],[Enrolled NPI]],"NPI Match","NPI Mismatch")</f>
        <v>NPI Match</v>
      </c>
      <c r="AC116" s="4" t="str">
        <f>IF(OR(tblEnrollment[[#This Row],[Blocker Reason]] ="Individual NPI used instead of Group NPI",tblEnrollment[[#This Row],[Blocker Reason]] ="Credentialed NPI mismatch",tblEnrollment[[#This Row],[Blocker Reason]] ="Incorrect PTAN/Provider number"),"Yes","No")</f>
        <v>No</v>
      </c>
      <c r="AD116" s="4" t="str">
        <f>IF(OR(tblEnrollment[[#This Row],[Blocker Reason]] ="Wrong Payer ID",tblEnrollment[[#This Row],[Blocker Reason]] ="Old Payer ID used"),"Yes","No")</f>
        <v>No</v>
      </c>
      <c r="AE116" s="4" t="str">
        <f>IF(OR(tblEnrollment[[#This Row],[Clearinghouse Portal Updated]]="No",tblEnrollment[[#This Row],[Blocker Reason]] ="Clearinghouse portal not updated"),"Yes","No")</f>
        <v>Yes</v>
      </c>
      <c r="AF11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1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Status]]="Completed",AB116="NPI Match"),"Ready","Not Ready"),"Not Applicable")</f>
        <v>Not Ready</v>
      </c>
      <c r="AH116" s="4" t="str">
        <f>IF(OR(tblEnrollment[[#This Row],[Enrollment Type]]="ERA",tblEnrollment[[#This Row],[Enrollment Type]]="Claims and ERA"),IF(AND(tblEnrollment[[#This Row],[Credentialing Status]]="Completed",tblEnrollment[[#This Row],[ERA Enrollment Status]]="Approved",tblEnrollment[[#This Row],[Clearinghouse Configuration Status]]="Completed",AB116="NPI Match"),"Ready","Not Ready"),"Not Applicable")</f>
        <v>Not Ready</v>
      </c>
      <c r="AI116" s="4" t="str">
        <f>IF(tblEnrollment[[#This Row],[Blocker Reason]] ="No Blocker","No","Yes")</f>
        <v>Yes</v>
      </c>
    </row>
    <row r="117" spans="1:35" ht="29">
      <c r="A117" s="35" t="s">
        <v>778</v>
      </c>
      <c r="B117" s="35" t="s">
        <v>62</v>
      </c>
      <c r="C117" s="35" t="s">
        <v>509</v>
      </c>
      <c r="D117" s="35" t="s">
        <v>779</v>
      </c>
      <c r="E117" s="35" t="s">
        <v>86</v>
      </c>
      <c r="F117" s="35" t="s">
        <v>86</v>
      </c>
      <c r="G117" s="35" t="s">
        <v>86</v>
      </c>
      <c r="H117" s="35" t="s">
        <v>123</v>
      </c>
      <c r="I117" s="35" t="s">
        <v>132</v>
      </c>
      <c r="J117" s="35" t="s">
        <v>401</v>
      </c>
      <c r="K117" s="35" t="s">
        <v>53</v>
      </c>
      <c r="L117" s="35" t="s">
        <v>54</v>
      </c>
      <c r="M117" s="35" t="s">
        <v>45</v>
      </c>
      <c r="N117" s="35" t="s">
        <v>46</v>
      </c>
      <c r="O117" s="35" t="s">
        <v>47</v>
      </c>
      <c r="P117" s="35" t="s">
        <v>47</v>
      </c>
      <c r="Q117" s="35" t="s">
        <v>48</v>
      </c>
      <c r="R117" s="35" t="s">
        <v>46</v>
      </c>
      <c r="S117" s="36">
        <v>46092</v>
      </c>
      <c r="T117" s="36">
        <v>46112</v>
      </c>
      <c r="U117" s="35" t="s">
        <v>49</v>
      </c>
      <c r="V117" s="35" t="s">
        <v>348</v>
      </c>
      <c r="W117" s="35" t="s">
        <v>441</v>
      </c>
      <c r="X117" s="36">
        <v>46179</v>
      </c>
      <c r="Y117" s="35" t="s">
        <v>350</v>
      </c>
      <c r="Z117" s="4">
        <f>IF(tblEnrollment[[#This Row],[Approved Date]]="",DATE(2026,6,3)-tblEnrollment[[#This Row],[Submitted Date]],tblEnrollment[[#This Row],[Approved Date]]-tblEnrollment[[#This Row],[Submitted Date]])</f>
        <v>20</v>
      </c>
      <c r="AA117" s="4" t="str">
        <f>IF(tblEnrollment[[#This Row],[Current Status]] ="Ready","Completed",IF(Z117&gt;21,"SLA Breached","Within SLA"))</f>
        <v>Completed</v>
      </c>
      <c r="AB117" s="4" t="str">
        <f>IF(tblEnrollment[[#This Row],[Credentialed NPI]] =tblEnrollment[[#This Row],[Enrolled NPI]],"NPI Match","NPI Mismatch")</f>
        <v>NPI Match</v>
      </c>
      <c r="AC117" s="4" t="str">
        <f>IF(OR(tblEnrollment[[#This Row],[Blocker Reason]] ="Individual NPI used instead of Group NPI",tblEnrollment[[#This Row],[Blocker Reason]] ="Credentialed NPI mismatch",tblEnrollment[[#This Row],[Blocker Reason]] ="Incorrect PTAN/Provider number"),"Yes","No")</f>
        <v>No</v>
      </c>
      <c r="AD117" s="4" t="str">
        <f>IF(OR(tblEnrollment[[#This Row],[Blocker Reason]] ="Wrong Payer ID",tblEnrollment[[#This Row],[Blocker Reason]] ="Old Payer ID used"),"Yes","No")</f>
        <v>No</v>
      </c>
      <c r="AE117" s="4" t="str">
        <f>IF(OR(tblEnrollment[[#This Row],[Clearinghouse Portal Updated]]="No",tblEnrollment[[#This Row],[Blocker Reason]] ="Clearinghouse portal not updated"),"Yes","No")</f>
        <v>No</v>
      </c>
      <c r="AF11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1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Status]]="Completed",AB117="NPI Match"),"Ready","Not Ready"),"Not Applicable")</f>
        <v>Ready</v>
      </c>
      <c r="AH117" s="4" t="str">
        <f>IF(OR(tblEnrollment[[#This Row],[Enrollment Type]]="ERA",tblEnrollment[[#This Row],[Enrollment Type]]="Claims and ERA"),IF(AND(tblEnrollment[[#This Row],[Credentialing Status]]="Completed",tblEnrollment[[#This Row],[ERA Enrollment Status]]="Approved",tblEnrollment[[#This Row],[Clearinghouse Configuration Status]]="Completed",AB117="NPI Match"),"Ready","Not Ready"),"Not Applicable")</f>
        <v>Ready</v>
      </c>
      <c r="AI117" s="4" t="str">
        <f>IF(tblEnrollment[[#This Row],[Blocker Reason]] ="No Blocker","No","Yes")</f>
        <v>No</v>
      </c>
    </row>
    <row r="118" spans="1:35" ht="29">
      <c r="A118" s="35" t="s">
        <v>780</v>
      </c>
      <c r="B118" s="35" t="s">
        <v>340</v>
      </c>
      <c r="C118" s="35" t="s">
        <v>781</v>
      </c>
      <c r="D118" s="35" t="s">
        <v>782</v>
      </c>
      <c r="E118" s="35" t="s">
        <v>99</v>
      </c>
      <c r="F118" s="35" t="s">
        <v>99</v>
      </c>
      <c r="G118" s="35" t="s">
        <v>99</v>
      </c>
      <c r="H118" s="35" t="s">
        <v>119</v>
      </c>
      <c r="I118" s="35" t="s">
        <v>132</v>
      </c>
      <c r="J118" s="35" t="s">
        <v>401</v>
      </c>
      <c r="K118" s="35" t="s">
        <v>53</v>
      </c>
      <c r="L118" s="35" t="s">
        <v>54</v>
      </c>
      <c r="M118" s="35" t="s">
        <v>45</v>
      </c>
      <c r="N118" s="35" t="s">
        <v>46</v>
      </c>
      <c r="O118" s="35" t="s">
        <v>47</v>
      </c>
      <c r="P118" s="35" t="s">
        <v>56</v>
      </c>
      <c r="Q118" s="35" t="s">
        <v>48</v>
      </c>
      <c r="R118" s="35" t="s">
        <v>137</v>
      </c>
      <c r="S118" s="36">
        <v>46175</v>
      </c>
      <c r="T118" s="36"/>
      <c r="U118" s="35" t="s">
        <v>56</v>
      </c>
      <c r="V118" s="35" t="s">
        <v>364</v>
      </c>
      <c r="W118" s="35" t="s">
        <v>365</v>
      </c>
      <c r="X118" s="36">
        <v>46180</v>
      </c>
      <c r="Y118" s="35" t="s">
        <v>366</v>
      </c>
      <c r="Z118" s="4">
        <f>IF(tblEnrollment[[#This Row],[Approved Date]]="",DATE(2026,6,3)-tblEnrollment[[#This Row],[Submitted Date]],tblEnrollment[[#This Row],[Approved Date]]-tblEnrollment[[#This Row],[Submitted Date]])</f>
        <v>1</v>
      </c>
      <c r="AA118" s="4" t="str">
        <f>IF(tblEnrollment[[#This Row],[Current Status]] ="Ready","Completed",IF(Z118&gt;21,"SLA Breached","Within SLA"))</f>
        <v>Within SLA</v>
      </c>
      <c r="AB118" s="4" t="str">
        <f>IF(tblEnrollment[[#This Row],[Credentialed NPI]] =tblEnrollment[[#This Row],[Enrolled NPI]],"NPI Match","NPI Mismatch")</f>
        <v>NPI Match</v>
      </c>
      <c r="AC118" s="4" t="str">
        <f>IF(OR(tblEnrollment[[#This Row],[Blocker Reason]] ="Individual NPI used instead of Group NPI",tblEnrollment[[#This Row],[Blocker Reason]] ="Credentialed NPI mismatch",tblEnrollment[[#This Row],[Blocker Reason]] ="Incorrect PTAN/Provider number"),"Yes","No")</f>
        <v>No</v>
      </c>
      <c r="AD118" s="4" t="str">
        <f>IF(OR(tblEnrollment[[#This Row],[Blocker Reason]] ="Wrong Payer ID",tblEnrollment[[#This Row],[Blocker Reason]] ="Old Payer ID used"),"Yes","No")</f>
        <v>No</v>
      </c>
      <c r="AE118" s="4" t="str">
        <f>IF(OR(tblEnrollment[[#This Row],[Clearinghouse Portal Updated]]="No",tblEnrollment[[#This Row],[Blocker Reason]] ="Clearinghouse portal not updated"),"Yes","No")</f>
        <v>No</v>
      </c>
      <c r="AF11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1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Status]]="Completed",AB118="NPI Match"),"Ready","Not Ready"),"Not Applicable")</f>
        <v>Not Ready</v>
      </c>
      <c r="AH118" s="4" t="str">
        <f>IF(OR(tblEnrollment[[#This Row],[Enrollment Type]]="ERA",tblEnrollment[[#This Row],[Enrollment Type]]="Claims and ERA"),IF(AND(tblEnrollment[[#This Row],[Credentialing Status]]="Completed",tblEnrollment[[#This Row],[ERA Enrollment Status]]="Approved",tblEnrollment[[#This Row],[Clearinghouse Configuration Status]]="Completed",AB118="NPI Match"),"Ready","Not Ready"),"Not Applicable")</f>
        <v>Not Ready</v>
      </c>
      <c r="AI118" s="4" t="str">
        <f>IF(tblEnrollment[[#This Row],[Blocker Reason]] ="No Blocker","No","Yes")</f>
        <v>Yes</v>
      </c>
    </row>
    <row r="119" spans="1:35" ht="29">
      <c r="A119" s="35" t="s">
        <v>783</v>
      </c>
      <c r="B119" s="35" t="s">
        <v>77</v>
      </c>
      <c r="C119" s="35" t="s">
        <v>784</v>
      </c>
      <c r="D119" s="35" t="s">
        <v>785</v>
      </c>
      <c r="E119" s="35" t="s">
        <v>41</v>
      </c>
      <c r="F119" s="35" t="s">
        <v>41</v>
      </c>
      <c r="G119" s="35" t="s">
        <v>41</v>
      </c>
      <c r="H119" s="35" t="s">
        <v>111</v>
      </c>
      <c r="I119" s="35" t="s">
        <v>51</v>
      </c>
      <c r="J119" s="35" t="s">
        <v>52</v>
      </c>
      <c r="K119" s="35" t="s">
        <v>53</v>
      </c>
      <c r="L119" s="35" t="s">
        <v>54</v>
      </c>
      <c r="M119" s="35" t="s">
        <v>45</v>
      </c>
      <c r="N119" s="35" t="s">
        <v>46</v>
      </c>
      <c r="O119" s="35" t="s">
        <v>47</v>
      </c>
      <c r="P119" s="35" t="s">
        <v>47</v>
      </c>
      <c r="Q119" s="35" t="s">
        <v>48</v>
      </c>
      <c r="R119" s="35" t="s">
        <v>46</v>
      </c>
      <c r="S119" s="36">
        <v>46119</v>
      </c>
      <c r="T119" s="36">
        <v>46126</v>
      </c>
      <c r="U119" s="35" t="s">
        <v>49</v>
      </c>
      <c r="V119" s="35" t="s">
        <v>348</v>
      </c>
      <c r="W119" s="35" t="s">
        <v>441</v>
      </c>
      <c r="X119" s="36">
        <v>46178</v>
      </c>
      <c r="Y119" s="35" t="s">
        <v>350</v>
      </c>
      <c r="Z119" s="4">
        <f>IF(tblEnrollment[[#This Row],[Approved Date]]="",DATE(2026,6,3)-tblEnrollment[[#This Row],[Submitted Date]],tblEnrollment[[#This Row],[Approved Date]]-tblEnrollment[[#This Row],[Submitted Date]])</f>
        <v>7</v>
      </c>
      <c r="AA119" s="4" t="str">
        <f>IF(tblEnrollment[[#This Row],[Current Status]] ="Ready","Completed",IF(Z119&gt;21,"SLA Breached","Within SLA"))</f>
        <v>Completed</v>
      </c>
      <c r="AB119" s="4" t="str">
        <f>IF(tblEnrollment[[#This Row],[Credentialed NPI]] =tblEnrollment[[#This Row],[Enrolled NPI]],"NPI Match","NPI Mismatch")</f>
        <v>NPI Match</v>
      </c>
      <c r="AC119" s="4" t="str">
        <f>IF(OR(tblEnrollment[[#This Row],[Blocker Reason]] ="Individual NPI used instead of Group NPI",tblEnrollment[[#This Row],[Blocker Reason]] ="Credentialed NPI mismatch",tblEnrollment[[#This Row],[Blocker Reason]] ="Incorrect PTAN/Provider number"),"Yes","No")</f>
        <v>No</v>
      </c>
      <c r="AD119" s="4" t="str">
        <f>IF(OR(tblEnrollment[[#This Row],[Blocker Reason]] ="Wrong Payer ID",tblEnrollment[[#This Row],[Blocker Reason]] ="Old Payer ID used"),"Yes","No")</f>
        <v>No</v>
      </c>
      <c r="AE119" s="4" t="str">
        <f>IF(OR(tblEnrollment[[#This Row],[Clearinghouse Portal Updated]]="No",tblEnrollment[[#This Row],[Blocker Reason]] ="Clearinghouse portal not updated"),"Yes","No")</f>
        <v>No</v>
      </c>
      <c r="AF11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1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Status]]="Completed",AB119="NPI Match"),"Ready","Not Ready"),"Not Applicable")</f>
        <v>Ready</v>
      </c>
      <c r="AH119" s="4" t="str">
        <f>IF(OR(tblEnrollment[[#This Row],[Enrollment Type]]="ERA",tblEnrollment[[#This Row],[Enrollment Type]]="Claims and ERA"),IF(AND(tblEnrollment[[#This Row],[Credentialing Status]]="Completed",tblEnrollment[[#This Row],[ERA Enrollment Status]]="Approved",tblEnrollment[[#This Row],[Clearinghouse Configuration Status]]="Completed",AB119="NPI Match"),"Ready","Not Ready"),"Not Applicable")</f>
        <v>Ready</v>
      </c>
      <c r="AI119" s="4" t="str">
        <f>IF(tblEnrollment[[#This Row],[Blocker Reason]] ="No Blocker","No","Yes")</f>
        <v>No</v>
      </c>
    </row>
    <row r="120" spans="1:35" ht="29">
      <c r="A120" s="35" t="s">
        <v>786</v>
      </c>
      <c r="B120" s="35" t="s">
        <v>62</v>
      </c>
      <c r="C120" s="35" t="s">
        <v>787</v>
      </c>
      <c r="D120" s="35" t="s">
        <v>788</v>
      </c>
      <c r="E120" s="35" t="s">
        <v>89</v>
      </c>
      <c r="F120" s="35" t="s">
        <v>89</v>
      </c>
      <c r="G120" s="35" t="s">
        <v>788</v>
      </c>
      <c r="H120" s="35" t="s">
        <v>118</v>
      </c>
      <c r="I120" s="35" t="s">
        <v>131</v>
      </c>
      <c r="J120" s="35" t="s">
        <v>342</v>
      </c>
      <c r="K120" s="35" t="s">
        <v>53</v>
      </c>
      <c r="L120" s="35" t="s">
        <v>54</v>
      </c>
      <c r="M120" s="35" t="s">
        <v>55</v>
      </c>
      <c r="N120" s="35" t="s">
        <v>46</v>
      </c>
      <c r="O120" s="35" t="s">
        <v>138</v>
      </c>
      <c r="P120" s="35" t="s">
        <v>139</v>
      </c>
      <c r="Q120" s="35" t="s">
        <v>48</v>
      </c>
      <c r="R120" s="35" t="s">
        <v>140</v>
      </c>
      <c r="S120" s="36">
        <v>46129</v>
      </c>
      <c r="T120" s="36"/>
      <c r="U120" s="35" t="s">
        <v>141</v>
      </c>
      <c r="V120" s="35" t="s">
        <v>412</v>
      </c>
      <c r="W120" s="35" t="s">
        <v>338</v>
      </c>
      <c r="X120" s="36">
        <v>46184</v>
      </c>
      <c r="Y120" s="35" t="s">
        <v>413</v>
      </c>
      <c r="Z120" s="4">
        <f>IF(tblEnrollment[[#This Row],[Approved Date]]="",DATE(2026,6,3)-tblEnrollment[[#This Row],[Submitted Date]],tblEnrollment[[#This Row],[Approved Date]]-tblEnrollment[[#This Row],[Submitted Date]])</f>
        <v>47</v>
      </c>
      <c r="AA120" s="4" t="str">
        <f>IF(tblEnrollment[[#This Row],[Current Status]] ="Ready","Completed",IF(Z120&gt;21,"SLA Breached","Within SLA"))</f>
        <v>SLA Breached</v>
      </c>
      <c r="AB120" s="4" t="str">
        <f>IF(tblEnrollment[[#This Row],[Credentialed NPI]] =tblEnrollment[[#This Row],[Enrolled NPI]],"NPI Match","NPI Mismatch")</f>
        <v>NPI Mismatch</v>
      </c>
      <c r="AC120" s="4" t="str">
        <f>IF(OR(tblEnrollment[[#This Row],[Blocker Reason]] ="Individual NPI used instead of Group NPI",tblEnrollment[[#This Row],[Blocker Reason]] ="Credentialed NPI mismatch",tblEnrollment[[#This Row],[Blocker Reason]] ="Incorrect PTAN/Provider number"),"Yes","No")</f>
        <v>Yes</v>
      </c>
      <c r="AD120" s="4" t="str">
        <f>IF(OR(tblEnrollment[[#This Row],[Blocker Reason]] ="Wrong Payer ID",tblEnrollment[[#This Row],[Blocker Reason]] ="Old Payer ID used"),"Yes","No")</f>
        <v>No</v>
      </c>
      <c r="AE120" s="4" t="str">
        <f>IF(OR(tblEnrollment[[#This Row],[Clearinghouse Portal Updated]]="No",tblEnrollment[[#This Row],[Blocker Reason]] ="Clearinghouse portal not updated"),"Yes","No")</f>
        <v>No</v>
      </c>
      <c r="AF12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2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Status]]="Completed",AB120="NPI Match"),"Ready","Not Ready"),"Not Applicable")</f>
        <v>Not Ready</v>
      </c>
      <c r="AH120" s="4" t="str">
        <f>IF(OR(tblEnrollment[[#This Row],[Enrollment Type]]="ERA",tblEnrollment[[#This Row],[Enrollment Type]]="Claims and ERA"),IF(AND(tblEnrollment[[#This Row],[Credentialing Status]]="Completed",tblEnrollment[[#This Row],[ERA Enrollment Status]]="Approved",tblEnrollment[[#This Row],[Clearinghouse Configuration Status]]="Completed",AB120="NPI Match"),"Ready","Not Ready"),"Not Applicable")</f>
        <v>Not Applicable</v>
      </c>
      <c r="AI120" s="4" t="str">
        <f>IF(tblEnrollment[[#This Row],[Blocker Reason]] ="No Blocker","No","Yes")</f>
        <v>Yes</v>
      </c>
    </row>
    <row r="121" spans="1:35" ht="29">
      <c r="A121" s="35" t="s">
        <v>789</v>
      </c>
      <c r="B121" s="35" t="s">
        <v>70</v>
      </c>
      <c r="C121" s="35" t="s">
        <v>790</v>
      </c>
      <c r="D121" s="35" t="s">
        <v>791</v>
      </c>
      <c r="E121" s="35" t="s">
        <v>681</v>
      </c>
      <c r="F121" s="35" t="s">
        <v>681</v>
      </c>
      <c r="G121" s="35" t="s">
        <v>681</v>
      </c>
      <c r="H121" s="35" t="s">
        <v>108</v>
      </c>
      <c r="I121" s="35" t="s">
        <v>43</v>
      </c>
      <c r="J121" s="35" t="s">
        <v>357</v>
      </c>
      <c r="K121" s="35" t="s">
        <v>44</v>
      </c>
      <c r="L121" s="35" t="s">
        <v>792</v>
      </c>
      <c r="M121" s="35" t="s">
        <v>45</v>
      </c>
      <c r="N121" s="35" t="s">
        <v>46</v>
      </c>
      <c r="O121" s="35" t="s">
        <v>47</v>
      </c>
      <c r="P121" s="35" t="s">
        <v>56</v>
      </c>
      <c r="Q121" s="35" t="s">
        <v>48</v>
      </c>
      <c r="R121" s="35" t="s">
        <v>137</v>
      </c>
      <c r="S121" s="36">
        <v>46170</v>
      </c>
      <c r="T121" s="36"/>
      <c r="U121" s="35" t="s">
        <v>56</v>
      </c>
      <c r="V121" s="35" t="s">
        <v>364</v>
      </c>
      <c r="W121" s="35" t="s">
        <v>349</v>
      </c>
      <c r="X121" s="36">
        <v>46180</v>
      </c>
      <c r="Y121" s="35" t="s">
        <v>366</v>
      </c>
      <c r="Z121" s="4">
        <f>IF(tblEnrollment[[#This Row],[Approved Date]]="",DATE(2026,6,3)-tblEnrollment[[#This Row],[Submitted Date]],tblEnrollment[[#This Row],[Approved Date]]-tblEnrollment[[#This Row],[Submitted Date]])</f>
        <v>6</v>
      </c>
      <c r="AA121" s="4" t="str">
        <f>IF(tblEnrollment[[#This Row],[Current Status]] ="Ready","Completed",IF(Z121&gt;21,"SLA Breached","Within SLA"))</f>
        <v>Within SLA</v>
      </c>
      <c r="AB121" s="4" t="str">
        <f>IF(tblEnrollment[[#This Row],[Credentialed NPI]] =tblEnrollment[[#This Row],[Enrolled NPI]],"NPI Match","NPI Mismatch")</f>
        <v>NPI Match</v>
      </c>
      <c r="AC121" s="4" t="str">
        <f>IF(OR(tblEnrollment[[#This Row],[Blocker Reason]] ="Individual NPI used instead of Group NPI",tblEnrollment[[#This Row],[Blocker Reason]] ="Credentialed NPI mismatch",tblEnrollment[[#This Row],[Blocker Reason]] ="Incorrect PTAN/Provider number"),"Yes","No")</f>
        <v>No</v>
      </c>
      <c r="AD121" s="4" t="str">
        <f>IF(OR(tblEnrollment[[#This Row],[Blocker Reason]] ="Wrong Payer ID",tblEnrollment[[#This Row],[Blocker Reason]] ="Old Payer ID used"),"Yes","No")</f>
        <v>No</v>
      </c>
      <c r="AE121" s="4" t="str">
        <f>IF(OR(tblEnrollment[[#This Row],[Clearinghouse Portal Updated]]="No",tblEnrollment[[#This Row],[Blocker Reason]] ="Clearinghouse portal not updated"),"Yes","No")</f>
        <v>No</v>
      </c>
      <c r="AF12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2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Status]]="Completed",AB121="NPI Match"),"Ready","Not Ready"),"Not Applicable")</f>
        <v>Not Ready</v>
      </c>
      <c r="AH121" s="4" t="str">
        <f>IF(OR(tblEnrollment[[#This Row],[Enrollment Type]]="ERA",tblEnrollment[[#This Row],[Enrollment Type]]="Claims and ERA"),IF(AND(tblEnrollment[[#This Row],[Credentialing Status]]="Completed",tblEnrollment[[#This Row],[ERA Enrollment Status]]="Approved",tblEnrollment[[#This Row],[Clearinghouse Configuration Status]]="Completed",AB121="NPI Match"),"Ready","Not Ready"),"Not Applicable")</f>
        <v>Not Ready</v>
      </c>
      <c r="AI121" s="4" t="str">
        <f>IF(tblEnrollment[[#This Row],[Blocker Reason]] ="No Blocker","No","Yes")</f>
        <v>Yes</v>
      </c>
    </row>
    <row r="122" spans="1:35" ht="29">
      <c r="A122" s="35" t="s">
        <v>793</v>
      </c>
      <c r="B122" s="35" t="s">
        <v>59</v>
      </c>
      <c r="C122" s="35" t="s">
        <v>794</v>
      </c>
      <c r="D122" s="35" t="s">
        <v>795</v>
      </c>
      <c r="E122" s="35" t="s">
        <v>439</v>
      </c>
      <c r="F122" s="35" t="s">
        <v>439</v>
      </c>
      <c r="G122" s="35" t="s">
        <v>795</v>
      </c>
      <c r="H122" s="35" t="s">
        <v>397</v>
      </c>
      <c r="I122" s="35" t="s">
        <v>130</v>
      </c>
      <c r="J122" s="35" t="s">
        <v>393</v>
      </c>
      <c r="K122" s="35" t="s">
        <v>53</v>
      </c>
      <c r="L122" s="35" t="s">
        <v>54</v>
      </c>
      <c r="M122" s="35" t="s">
        <v>45</v>
      </c>
      <c r="N122" s="35" t="s">
        <v>46</v>
      </c>
      <c r="O122" s="35" t="s">
        <v>138</v>
      </c>
      <c r="P122" s="35" t="s">
        <v>138</v>
      </c>
      <c r="Q122" s="35" t="s">
        <v>48</v>
      </c>
      <c r="R122" s="35" t="s">
        <v>140</v>
      </c>
      <c r="S122" s="36">
        <v>46150</v>
      </c>
      <c r="T122" s="36"/>
      <c r="U122" s="35" t="s">
        <v>141</v>
      </c>
      <c r="V122" s="35" t="s">
        <v>412</v>
      </c>
      <c r="W122" s="35" t="s">
        <v>330</v>
      </c>
      <c r="X122" s="36">
        <v>46177</v>
      </c>
      <c r="Y122" s="35" t="s">
        <v>413</v>
      </c>
      <c r="Z122" s="4">
        <f>IF(tblEnrollment[[#This Row],[Approved Date]]="",DATE(2026,6,3)-tblEnrollment[[#This Row],[Submitted Date]],tblEnrollment[[#This Row],[Approved Date]]-tblEnrollment[[#This Row],[Submitted Date]])</f>
        <v>26</v>
      </c>
      <c r="AA122" s="4" t="str">
        <f>IF(tblEnrollment[[#This Row],[Current Status]] ="Ready","Completed",IF(Z122&gt;21,"SLA Breached","Within SLA"))</f>
        <v>SLA Breached</v>
      </c>
      <c r="AB122" s="4" t="str">
        <f>IF(tblEnrollment[[#This Row],[Credentialed NPI]] =tblEnrollment[[#This Row],[Enrolled NPI]],"NPI Match","NPI Mismatch")</f>
        <v>NPI Mismatch</v>
      </c>
      <c r="AC122" s="4" t="str">
        <f>IF(OR(tblEnrollment[[#This Row],[Blocker Reason]] ="Individual NPI used instead of Group NPI",tblEnrollment[[#This Row],[Blocker Reason]] ="Credentialed NPI mismatch",tblEnrollment[[#This Row],[Blocker Reason]] ="Incorrect PTAN/Provider number"),"Yes","No")</f>
        <v>Yes</v>
      </c>
      <c r="AD122" s="4" t="str">
        <f>IF(OR(tblEnrollment[[#This Row],[Blocker Reason]] ="Wrong Payer ID",tblEnrollment[[#This Row],[Blocker Reason]] ="Old Payer ID used"),"Yes","No")</f>
        <v>No</v>
      </c>
      <c r="AE122" s="4" t="str">
        <f>IF(OR(tblEnrollment[[#This Row],[Clearinghouse Portal Updated]]="No",tblEnrollment[[#This Row],[Blocker Reason]] ="Clearinghouse portal not updated"),"Yes","No")</f>
        <v>No</v>
      </c>
      <c r="AF12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2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Status]]="Completed",AB122="NPI Match"),"Ready","Not Ready"),"Not Applicable")</f>
        <v>Not Ready</v>
      </c>
      <c r="AH122" s="4" t="str">
        <f>IF(OR(tblEnrollment[[#This Row],[Enrollment Type]]="ERA",tblEnrollment[[#This Row],[Enrollment Type]]="Claims and ERA"),IF(AND(tblEnrollment[[#This Row],[Credentialing Status]]="Completed",tblEnrollment[[#This Row],[ERA Enrollment Status]]="Approved",tblEnrollment[[#This Row],[Clearinghouse Configuration Status]]="Completed",AB122="NPI Match"),"Ready","Not Ready"),"Not Applicable")</f>
        <v>Not Ready</v>
      </c>
      <c r="AI122" s="4" t="str">
        <f>IF(tblEnrollment[[#This Row],[Blocker Reason]] ="No Blocker","No","Yes")</f>
        <v>Yes</v>
      </c>
    </row>
    <row r="123" spans="1:35" ht="29">
      <c r="A123" s="35" t="s">
        <v>796</v>
      </c>
      <c r="B123" s="35" t="s">
        <v>75</v>
      </c>
      <c r="C123" s="35" t="s">
        <v>797</v>
      </c>
      <c r="D123" s="35" t="s">
        <v>798</v>
      </c>
      <c r="E123" s="35" t="s">
        <v>90</v>
      </c>
      <c r="F123" s="35" t="s">
        <v>90</v>
      </c>
      <c r="G123" s="35" t="s">
        <v>544</v>
      </c>
      <c r="H123" s="35" t="s">
        <v>619</v>
      </c>
      <c r="I123" s="35" t="s">
        <v>51</v>
      </c>
      <c r="J123" s="35" t="s">
        <v>52</v>
      </c>
      <c r="K123" s="35" t="s">
        <v>53</v>
      </c>
      <c r="L123" s="35" t="s">
        <v>54</v>
      </c>
      <c r="M123" s="35" t="s">
        <v>45</v>
      </c>
      <c r="N123" s="35" t="s">
        <v>46</v>
      </c>
      <c r="O123" s="35" t="s">
        <v>138</v>
      </c>
      <c r="P123" s="35" t="s">
        <v>138</v>
      </c>
      <c r="Q123" s="35" t="s">
        <v>48</v>
      </c>
      <c r="R123" s="35" t="s">
        <v>140</v>
      </c>
      <c r="S123" s="36">
        <v>46134</v>
      </c>
      <c r="T123" s="36"/>
      <c r="U123" s="35" t="s">
        <v>141</v>
      </c>
      <c r="V123" s="35" t="s">
        <v>144</v>
      </c>
      <c r="W123" s="35" t="s">
        <v>338</v>
      </c>
      <c r="X123" s="36">
        <v>46185</v>
      </c>
      <c r="Y123" s="35" t="s">
        <v>389</v>
      </c>
      <c r="Z123" s="4">
        <f>IF(tblEnrollment[[#This Row],[Approved Date]]="",DATE(2026,6,3)-tblEnrollment[[#This Row],[Submitted Date]],tblEnrollment[[#This Row],[Approved Date]]-tblEnrollment[[#This Row],[Submitted Date]])</f>
        <v>42</v>
      </c>
      <c r="AA123" s="4" t="str">
        <f>IF(tblEnrollment[[#This Row],[Current Status]] ="Ready","Completed",IF(Z123&gt;21,"SLA Breached","Within SLA"))</f>
        <v>SLA Breached</v>
      </c>
      <c r="AB123" s="4" t="str">
        <f>IF(tblEnrollment[[#This Row],[Credentialed NPI]] =tblEnrollment[[#This Row],[Enrolled NPI]],"NPI Match","NPI Mismatch")</f>
        <v>NPI Mismatch</v>
      </c>
      <c r="AC123" s="4" t="str">
        <f>IF(OR(tblEnrollment[[#This Row],[Blocker Reason]] ="Individual NPI used instead of Group NPI",tblEnrollment[[#This Row],[Blocker Reason]] ="Credentialed NPI mismatch",tblEnrollment[[#This Row],[Blocker Reason]] ="Incorrect PTAN/Provider number"),"Yes","No")</f>
        <v>Yes</v>
      </c>
      <c r="AD123" s="4" t="str">
        <f>IF(OR(tblEnrollment[[#This Row],[Blocker Reason]] ="Wrong Payer ID",tblEnrollment[[#This Row],[Blocker Reason]] ="Old Payer ID used"),"Yes","No")</f>
        <v>No</v>
      </c>
      <c r="AE123" s="4" t="str">
        <f>IF(OR(tblEnrollment[[#This Row],[Clearinghouse Portal Updated]]="No",tblEnrollment[[#This Row],[Blocker Reason]] ="Clearinghouse portal not updated"),"Yes","No")</f>
        <v>No</v>
      </c>
      <c r="AF12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2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Status]]="Completed",AB123="NPI Match"),"Ready","Not Ready"),"Not Applicable")</f>
        <v>Not Ready</v>
      </c>
      <c r="AH123" s="4" t="str">
        <f>IF(OR(tblEnrollment[[#This Row],[Enrollment Type]]="ERA",tblEnrollment[[#This Row],[Enrollment Type]]="Claims and ERA"),IF(AND(tblEnrollment[[#This Row],[Credentialing Status]]="Completed",tblEnrollment[[#This Row],[ERA Enrollment Status]]="Approved",tblEnrollment[[#This Row],[Clearinghouse Configuration Status]]="Completed",AB123="NPI Match"),"Ready","Not Ready"),"Not Applicable")</f>
        <v>Not Ready</v>
      </c>
      <c r="AI123" s="4" t="str">
        <f>IF(tblEnrollment[[#This Row],[Blocker Reason]] ="No Blocker","No","Yes")</f>
        <v>Yes</v>
      </c>
    </row>
    <row r="124" spans="1:35" ht="29">
      <c r="A124" s="35" t="s">
        <v>799</v>
      </c>
      <c r="B124" s="35" t="s">
        <v>70</v>
      </c>
      <c r="C124" s="35" t="s">
        <v>800</v>
      </c>
      <c r="D124" s="35" t="s">
        <v>801</v>
      </c>
      <c r="E124" s="35" t="s">
        <v>735</v>
      </c>
      <c r="F124" s="35" t="s">
        <v>735</v>
      </c>
      <c r="G124" s="35" t="s">
        <v>735</v>
      </c>
      <c r="H124" s="35" t="s">
        <v>492</v>
      </c>
      <c r="I124" s="35" t="s">
        <v>43</v>
      </c>
      <c r="J124" s="35" t="s">
        <v>357</v>
      </c>
      <c r="K124" s="35" t="s">
        <v>44</v>
      </c>
      <c r="L124" s="35" t="s">
        <v>802</v>
      </c>
      <c r="M124" s="35" t="s">
        <v>45</v>
      </c>
      <c r="N124" s="35" t="s">
        <v>46</v>
      </c>
      <c r="O124" s="35" t="s">
        <v>47</v>
      </c>
      <c r="P124" s="35" t="s">
        <v>47</v>
      </c>
      <c r="Q124" s="35" t="s">
        <v>48</v>
      </c>
      <c r="R124" s="35" t="s">
        <v>46</v>
      </c>
      <c r="S124" s="36">
        <v>46092</v>
      </c>
      <c r="T124" s="36">
        <v>46105</v>
      </c>
      <c r="U124" s="35" t="s">
        <v>49</v>
      </c>
      <c r="V124" s="35" t="s">
        <v>348</v>
      </c>
      <c r="W124" s="35" t="s">
        <v>365</v>
      </c>
      <c r="X124" s="36">
        <v>46183</v>
      </c>
      <c r="Y124" s="35" t="s">
        <v>350</v>
      </c>
      <c r="Z124" s="4">
        <f>IF(tblEnrollment[[#This Row],[Approved Date]]="",DATE(2026,6,3)-tblEnrollment[[#This Row],[Submitted Date]],tblEnrollment[[#This Row],[Approved Date]]-tblEnrollment[[#This Row],[Submitted Date]])</f>
        <v>13</v>
      </c>
      <c r="AA124" s="4" t="str">
        <f>IF(tblEnrollment[[#This Row],[Current Status]] ="Ready","Completed",IF(Z124&gt;21,"SLA Breached","Within SLA"))</f>
        <v>Completed</v>
      </c>
      <c r="AB124" s="4" t="str">
        <f>IF(tblEnrollment[[#This Row],[Credentialed NPI]] =tblEnrollment[[#This Row],[Enrolled NPI]],"NPI Match","NPI Mismatch")</f>
        <v>NPI Match</v>
      </c>
      <c r="AC124" s="4" t="str">
        <f>IF(OR(tblEnrollment[[#This Row],[Blocker Reason]] ="Individual NPI used instead of Group NPI",tblEnrollment[[#This Row],[Blocker Reason]] ="Credentialed NPI mismatch",tblEnrollment[[#This Row],[Blocker Reason]] ="Incorrect PTAN/Provider number"),"Yes","No")</f>
        <v>No</v>
      </c>
      <c r="AD124" s="4" t="str">
        <f>IF(OR(tblEnrollment[[#This Row],[Blocker Reason]] ="Wrong Payer ID",tblEnrollment[[#This Row],[Blocker Reason]] ="Old Payer ID used"),"Yes","No")</f>
        <v>No</v>
      </c>
      <c r="AE124" s="4" t="str">
        <f>IF(OR(tblEnrollment[[#This Row],[Clearinghouse Portal Updated]]="No",tblEnrollment[[#This Row],[Blocker Reason]] ="Clearinghouse portal not updated"),"Yes","No")</f>
        <v>No</v>
      </c>
      <c r="AF12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2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Status]]="Completed",AB124="NPI Match"),"Ready","Not Ready"),"Not Applicable")</f>
        <v>Ready</v>
      </c>
      <c r="AH124" s="4" t="str">
        <f>IF(OR(tblEnrollment[[#This Row],[Enrollment Type]]="ERA",tblEnrollment[[#This Row],[Enrollment Type]]="Claims and ERA"),IF(AND(tblEnrollment[[#This Row],[Credentialing Status]]="Completed",tblEnrollment[[#This Row],[ERA Enrollment Status]]="Approved",tblEnrollment[[#This Row],[Clearinghouse Configuration Status]]="Completed",AB124="NPI Match"),"Ready","Not Ready"),"Not Applicable")</f>
        <v>Ready</v>
      </c>
      <c r="AI124" s="4" t="str">
        <f>IF(tblEnrollment[[#This Row],[Blocker Reason]] ="No Blocker","No","Yes")</f>
        <v>No</v>
      </c>
    </row>
    <row r="125" spans="1:35" ht="29">
      <c r="A125" s="35" t="s">
        <v>803</v>
      </c>
      <c r="B125" s="35" t="s">
        <v>67</v>
      </c>
      <c r="C125" s="35" t="s">
        <v>368</v>
      </c>
      <c r="D125" s="35" t="s">
        <v>804</v>
      </c>
      <c r="E125" s="35" t="s">
        <v>560</v>
      </c>
      <c r="F125" s="35" t="s">
        <v>560</v>
      </c>
      <c r="G125" s="35" t="s">
        <v>804</v>
      </c>
      <c r="H125" s="35" t="s">
        <v>649</v>
      </c>
      <c r="I125" s="35" t="s">
        <v>131</v>
      </c>
      <c r="J125" s="35" t="s">
        <v>342</v>
      </c>
      <c r="K125" s="35" t="s">
        <v>53</v>
      </c>
      <c r="L125" s="35" t="s">
        <v>54</v>
      </c>
      <c r="M125" s="35" t="s">
        <v>55</v>
      </c>
      <c r="N125" s="35" t="s">
        <v>46</v>
      </c>
      <c r="O125" s="35" t="s">
        <v>138</v>
      </c>
      <c r="P125" s="35" t="s">
        <v>139</v>
      </c>
      <c r="Q125" s="35" t="s">
        <v>48</v>
      </c>
      <c r="R125" s="35" t="s">
        <v>140</v>
      </c>
      <c r="S125" s="36">
        <v>46102</v>
      </c>
      <c r="T125" s="36"/>
      <c r="U125" s="35" t="s">
        <v>141</v>
      </c>
      <c r="V125" s="35" t="s">
        <v>412</v>
      </c>
      <c r="W125" s="35" t="s">
        <v>365</v>
      </c>
      <c r="X125" s="36">
        <v>46181</v>
      </c>
      <c r="Y125" s="35" t="s">
        <v>413</v>
      </c>
      <c r="Z125" s="4">
        <f>IF(tblEnrollment[[#This Row],[Approved Date]]="",DATE(2026,6,3)-tblEnrollment[[#This Row],[Submitted Date]],tblEnrollment[[#This Row],[Approved Date]]-tblEnrollment[[#This Row],[Submitted Date]])</f>
        <v>74</v>
      </c>
      <c r="AA125" s="4" t="str">
        <f>IF(tblEnrollment[[#This Row],[Current Status]] ="Ready","Completed",IF(Z125&gt;21,"SLA Breached","Within SLA"))</f>
        <v>SLA Breached</v>
      </c>
      <c r="AB125" s="4" t="str">
        <f>IF(tblEnrollment[[#This Row],[Credentialed NPI]] =tblEnrollment[[#This Row],[Enrolled NPI]],"NPI Match","NPI Mismatch")</f>
        <v>NPI Mismatch</v>
      </c>
      <c r="AC125" s="4" t="str">
        <f>IF(OR(tblEnrollment[[#This Row],[Blocker Reason]] ="Individual NPI used instead of Group NPI",tblEnrollment[[#This Row],[Blocker Reason]] ="Credentialed NPI mismatch",tblEnrollment[[#This Row],[Blocker Reason]] ="Incorrect PTAN/Provider number"),"Yes","No")</f>
        <v>Yes</v>
      </c>
      <c r="AD125" s="4" t="str">
        <f>IF(OR(tblEnrollment[[#This Row],[Blocker Reason]] ="Wrong Payer ID",tblEnrollment[[#This Row],[Blocker Reason]] ="Old Payer ID used"),"Yes","No")</f>
        <v>No</v>
      </c>
      <c r="AE125" s="4" t="str">
        <f>IF(OR(tblEnrollment[[#This Row],[Clearinghouse Portal Updated]]="No",tblEnrollment[[#This Row],[Blocker Reason]] ="Clearinghouse portal not updated"),"Yes","No")</f>
        <v>No</v>
      </c>
      <c r="AF12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2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Status]]="Completed",AB125="NPI Match"),"Ready","Not Ready"),"Not Applicable")</f>
        <v>Not Ready</v>
      </c>
      <c r="AH125" s="4" t="str">
        <f>IF(OR(tblEnrollment[[#This Row],[Enrollment Type]]="ERA",tblEnrollment[[#This Row],[Enrollment Type]]="Claims and ERA"),IF(AND(tblEnrollment[[#This Row],[Credentialing Status]]="Completed",tblEnrollment[[#This Row],[ERA Enrollment Status]]="Approved",tblEnrollment[[#This Row],[Clearinghouse Configuration Status]]="Completed",AB125="NPI Match"),"Ready","Not Ready"),"Not Applicable")</f>
        <v>Not Applicable</v>
      </c>
      <c r="AI125" s="4" t="str">
        <f>IF(tblEnrollment[[#This Row],[Blocker Reason]] ="No Blocker","No","Yes")</f>
        <v>Yes</v>
      </c>
    </row>
    <row r="126" spans="1:35" ht="29">
      <c r="A126" s="35" t="s">
        <v>805</v>
      </c>
      <c r="B126" s="35" t="s">
        <v>60</v>
      </c>
      <c r="C126" s="35" t="s">
        <v>806</v>
      </c>
      <c r="D126" s="35" t="s">
        <v>807</v>
      </c>
      <c r="E126" s="35" t="s">
        <v>87</v>
      </c>
      <c r="F126" s="35" t="s">
        <v>87</v>
      </c>
      <c r="G126" s="35" t="s">
        <v>87</v>
      </c>
      <c r="H126" s="35" t="s">
        <v>500</v>
      </c>
      <c r="I126" s="35" t="s">
        <v>43</v>
      </c>
      <c r="J126" s="35" t="s">
        <v>336</v>
      </c>
      <c r="K126" s="35" t="s">
        <v>44</v>
      </c>
      <c r="L126" s="35" t="s">
        <v>808</v>
      </c>
      <c r="M126" s="35" t="s">
        <v>136</v>
      </c>
      <c r="N126" s="35" t="s">
        <v>46</v>
      </c>
      <c r="O126" s="35" t="s">
        <v>139</v>
      </c>
      <c r="P126" s="35" t="s">
        <v>138</v>
      </c>
      <c r="Q126" s="35" t="s">
        <v>48</v>
      </c>
      <c r="R126" s="35" t="s">
        <v>140</v>
      </c>
      <c r="S126" s="36">
        <v>46070</v>
      </c>
      <c r="T126" s="36"/>
      <c r="U126" s="35" t="s">
        <v>141</v>
      </c>
      <c r="V126" s="35" t="s">
        <v>329</v>
      </c>
      <c r="W126" s="35" t="s">
        <v>330</v>
      </c>
      <c r="X126" s="36">
        <v>46184</v>
      </c>
      <c r="Y126" s="35" t="s">
        <v>331</v>
      </c>
      <c r="Z126" s="4">
        <f>IF(tblEnrollment[[#This Row],[Approved Date]]="",DATE(2026,6,3)-tblEnrollment[[#This Row],[Submitted Date]],tblEnrollment[[#This Row],[Approved Date]]-tblEnrollment[[#This Row],[Submitted Date]])</f>
        <v>106</v>
      </c>
      <c r="AA126" s="4" t="str">
        <f>IF(tblEnrollment[[#This Row],[Current Status]] ="Ready","Completed",IF(Z126&gt;21,"SLA Breached","Within SLA"))</f>
        <v>SLA Breached</v>
      </c>
      <c r="AB126" s="4" t="str">
        <f>IF(tblEnrollment[[#This Row],[Credentialed NPI]] =tblEnrollment[[#This Row],[Enrolled NPI]],"NPI Match","NPI Mismatch")</f>
        <v>NPI Match</v>
      </c>
      <c r="AC126" s="4" t="str">
        <f>IF(OR(tblEnrollment[[#This Row],[Blocker Reason]] ="Individual NPI used instead of Group NPI",tblEnrollment[[#This Row],[Blocker Reason]] ="Credentialed NPI mismatch",tblEnrollment[[#This Row],[Blocker Reason]] ="Incorrect PTAN/Provider number"),"Yes","No")</f>
        <v>No</v>
      </c>
      <c r="AD126" s="4" t="str">
        <f>IF(OR(tblEnrollment[[#This Row],[Blocker Reason]] ="Wrong Payer ID",tblEnrollment[[#This Row],[Blocker Reason]] ="Old Payer ID used"),"Yes","No")</f>
        <v>Yes</v>
      </c>
      <c r="AE126" s="4" t="str">
        <f>IF(OR(tblEnrollment[[#This Row],[Clearinghouse Portal Updated]]="No",tblEnrollment[[#This Row],[Blocker Reason]] ="Clearinghouse portal not updated"),"Yes","No")</f>
        <v>No</v>
      </c>
      <c r="AF12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2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Status]]="Completed",AB126="NPI Match"),"Ready","Not Ready"),"Not Applicable")</f>
        <v>Not Applicable</v>
      </c>
      <c r="AH126" s="4" t="str">
        <f>IF(OR(tblEnrollment[[#This Row],[Enrollment Type]]="ERA",tblEnrollment[[#This Row],[Enrollment Type]]="Claims and ERA"),IF(AND(tblEnrollment[[#This Row],[Credentialing Status]]="Completed",tblEnrollment[[#This Row],[ERA Enrollment Status]]="Approved",tblEnrollment[[#This Row],[Clearinghouse Configuration Status]]="Completed",AB126="NPI Match"),"Ready","Not Ready"),"Not Applicable")</f>
        <v>Not Ready</v>
      </c>
      <c r="AI126" s="4" t="str">
        <f>IF(tblEnrollment[[#This Row],[Blocker Reason]] ="No Blocker","No","Yes")</f>
        <v>Yes</v>
      </c>
    </row>
    <row r="127" spans="1:35" ht="29">
      <c r="A127" s="35" t="s">
        <v>809</v>
      </c>
      <c r="B127" s="35" t="s">
        <v>77</v>
      </c>
      <c r="C127" s="35" t="s">
        <v>810</v>
      </c>
      <c r="D127" s="35" t="s">
        <v>811</v>
      </c>
      <c r="E127" s="35" t="s">
        <v>104</v>
      </c>
      <c r="F127" s="35" t="s">
        <v>104</v>
      </c>
      <c r="G127" s="35" t="s">
        <v>104</v>
      </c>
      <c r="H127" s="35" t="s">
        <v>812</v>
      </c>
      <c r="I127" s="35" t="s">
        <v>132</v>
      </c>
      <c r="J127" s="35" t="s">
        <v>530</v>
      </c>
      <c r="K127" s="35" t="s">
        <v>53</v>
      </c>
      <c r="L127" s="35" t="s">
        <v>54</v>
      </c>
      <c r="M127" s="35" t="s">
        <v>45</v>
      </c>
      <c r="N127" s="35" t="s">
        <v>46</v>
      </c>
      <c r="O127" s="35" t="s">
        <v>138</v>
      </c>
      <c r="P127" s="35" t="s">
        <v>138</v>
      </c>
      <c r="Q127" s="35" t="s">
        <v>48</v>
      </c>
      <c r="R127" s="35" t="s">
        <v>140</v>
      </c>
      <c r="S127" s="36">
        <v>46110</v>
      </c>
      <c r="T127" s="36"/>
      <c r="U127" s="35" t="s">
        <v>141</v>
      </c>
      <c r="V127" s="35" t="s">
        <v>329</v>
      </c>
      <c r="W127" s="35" t="s">
        <v>441</v>
      </c>
      <c r="X127" s="36">
        <v>46185</v>
      </c>
      <c r="Y127" s="35" t="s">
        <v>331</v>
      </c>
      <c r="Z127" s="4">
        <f>IF(tblEnrollment[[#This Row],[Approved Date]]="",DATE(2026,6,3)-tblEnrollment[[#This Row],[Submitted Date]],tblEnrollment[[#This Row],[Approved Date]]-tblEnrollment[[#This Row],[Submitted Date]])</f>
        <v>66</v>
      </c>
      <c r="AA127" s="4" t="str">
        <f>IF(tblEnrollment[[#This Row],[Current Status]] ="Ready","Completed",IF(Z127&gt;21,"SLA Breached","Within SLA"))</f>
        <v>SLA Breached</v>
      </c>
      <c r="AB127" s="4" t="str">
        <f>IF(tblEnrollment[[#This Row],[Credentialed NPI]] =tblEnrollment[[#This Row],[Enrolled NPI]],"NPI Match","NPI Mismatch")</f>
        <v>NPI Match</v>
      </c>
      <c r="AC127" s="4" t="str">
        <f>IF(OR(tblEnrollment[[#This Row],[Blocker Reason]] ="Individual NPI used instead of Group NPI",tblEnrollment[[#This Row],[Blocker Reason]] ="Credentialed NPI mismatch",tblEnrollment[[#This Row],[Blocker Reason]] ="Incorrect PTAN/Provider number"),"Yes","No")</f>
        <v>No</v>
      </c>
      <c r="AD127" s="4" t="str">
        <f>IF(OR(tblEnrollment[[#This Row],[Blocker Reason]] ="Wrong Payer ID",tblEnrollment[[#This Row],[Blocker Reason]] ="Old Payer ID used"),"Yes","No")</f>
        <v>Yes</v>
      </c>
      <c r="AE127" s="4" t="str">
        <f>IF(OR(tblEnrollment[[#This Row],[Clearinghouse Portal Updated]]="No",tblEnrollment[[#This Row],[Blocker Reason]] ="Clearinghouse portal not updated"),"Yes","No")</f>
        <v>No</v>
      </c>
      <c r="AF12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2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Status]]="Completed",AB127="NPI Match"),"Ready","Not Ready"),"Not Applicable")</f>
        <v>Not Ready</v>
      </c>
      <c r="AH127" s="4" t="str">
        <f>IF(OR(tblEnrollment[[#This Row],[Enrollment Type]]="ERA",tblEnrollment[[#This Row],[Enrollment Type]]="Claims and ERA"),IF(AND(tblEnrollment[[#This Row],[Credentialing Status]]="Completed",tblEnrollment[[#This Row],[ERA Enrollment Status]]="Approved",tblEnrollment[[#This Row],[Clearinghouse Configuration Status]]="Completed",AB127="NPI Match"),"Ready","Not Ready"),"Not Applicable")</f>
        <v>Not Ready</v>
      </c>
      <c r="AI127" s="4" t="str">
        <f>IF(tblEnrollment[[#This Row],[Blocker Reason]] ="No Blocker","No","Yes")</f>
        <v>Yes</v>
      </c>
    </row>
    <row r="128" spans="1:35" ht="29">
      <c r="A128" s="35" t="s">
        <v>813</v>
      </c>
      <c r="B128" s="35" t="s">
        <v>61</v>
      </c>
      <c r="C128" s="35" t="s">
        <v>814</v>
      </c>
      <c r="D128" s="35" t="s">
        <v>815</v>
      </c>
      <c r="E128" s="35" t="s">
        <v>95</v>
      </c>
      <c r="F128" s="35" t="s">
        <v>95</v>
      </c>
      <c r="G128" s="35" t="s">
        <v>95</v>
      </c>
      <c r="H128" s="35" t="s">
        <v>119</v>
      </c>
      <c r="I128" s="35" t="s">
        <v>129</v>
      </c>
      <c r="J128" s="35" t="s">
        <v>134</v>
      </c>
      <c r="K128" s="35" t="s">
        <v>44</v>
      </c>
      <c r="L128" s="35" t="s">
        <v>816</v>
      </c>
      <c r="M128" s="35" t="s">
        <v>45</v>
      </c>
      <c r="N128" s="35" t="s">
        <v>46</v>
      </c>
      <c r="O128" s="35" t="s">
        <v>47</v>
      </c>
      <c r="P128" s="35" t="s">
        <v>47</v>
      </c>
      <c r="Q128" s="35" t="s">
        <v>48</v>
      </c>
      <c r="R128" s="35" t="s">
        <v>46</v>
      </c>
      <c r="S128" s="36">
        <v>46064</v>
      </c>
      <c r="T128" s="36">
        <v>46076</v>
      </c>
      <c r="U128" s="35" t="s">
        <v>49</v>
      </c>
      <c r="V128" s="35" t="s">
        <v>348</v>
      </c>
      <c r="W128" s="35" t="s">
        <v>441</v>
      </c>
      <c r="X128" s="36">
        <v>46184</v>
      </c>
      <c r="Y128" s="35" t="s">
        <v>350</v>
      </c>
      <c r="Z128" s="4">
        <f>IF(tblEnrollment[[#This Row],[Approved Date]]="",DATE(2026,6,3)-tblEnrollment[[#This Row],[Submitted Date]],tblEnrollment[[#This Row],[Approved Date]]-tblEnrollment[[#This Row],[Submitted Date]])</f>
        <v>12</v>
      </c>
      <c r="AA128" s="4" t="str">
        <f>IF(tblEnrollment[[#This Row],[Current Status]] ="Ready","Completed",IF(Z128&gt;21,"SLA Breached","Within SLA"))</f>
        <v>Completed</v>
      </c>
      <c r="AB128" s="4" t="str">
        <f>IF(tblEnrollment[[#This Row],[Credentialed NPI]] =tblEnrollment[[#This Row],[Enrolled NPI]],"NPI Match","NPI Mismatch")</f>
        <v>NPI Match</v>
      </c>
      <c r="AC128" s="4" t="str">
        <f>IF(OR(tblEnrollment[[#This Row],[Blocker Reason]] ="Individual NPI used instead of Group NPI",tblEnrollment[[#This Row],[Blocker Reason]] ="Credentialed NPI mismatch",tblEnrollment[[#This Row],[Blocker Reason]] ="Incorrect PTAN/Provider number"),"Yes","No")</f>
        <v>No</v>
      </c>
      <c r="AD128" s="4" t="str">
        <f>IF(OR(tblEnrollment[[#This Row],[Blocker Reason]] ="Wrong Payer ID",tblEnrollment[[#This Row],[Blocker Reason]] ="Old Payer ID used"),"Yes","No")</f>
        <v>No</v>
      </c>
      <c r="AE128" s="4" t="str">
        <f>IF(OR(tblEnrollment[[#This Row],[Clearinghouse Portal Updated]]="No",tblEnrollment[[#This Row],[Blocker Reason]] ="Clearinghouse portal not updated"),"Yes","No")</f>
        <v>No</v>
      </c>
      <c r="AF12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2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Status]]="Completed",AB128="NPI Match"),"Ready","Not Ready"),"Not Applicable")</f>
        <v>Ready</v>
      </c>
      <c r="AH128" s="4" t="str">
        <f>IF(OR(tblEnrollment[[#This Row],[Enrollment Type]]="ERA",tblEnrollment[[#This Row],[Enrollment Type]]="Claims and ERA"),IF(AND(tblEnrollment[[#This Row],[Credentialing Status]]="Completed",tblEnrollment[[#This Row],[ERA Enrollment Status]]="Approved",tblEnrollment[[#This Row],[Clearinghouse Configuration Status]]="Completed",AB128="NPI Match"),"Ready","Not Ready"),"Not Applicable")</f>
        <v>Ready</v>
      </c>
      <c r="AI128" s="4" t="str">
        <f>IF(tblEnrollment[[#This Row],[Blocker Reason]] ="No Blocker","No","Yes")</f>
        <v>No</v>
      </c>
    </row>
    <row r="129" spans="1:35" ht="29">
      <c r="A129" s="35" t="s">
        <v>817</v>
      </c>
      <c r="B129" s="35" t="s">
        <v>391</v>
      </c>
      <c r="C129" s="35" t="s">
        <v>818</v>
      </c>
      <c r="D129" s="35" t="s">
        <v>819</v>
      </c>
      <c r="E129" s="35" t="s">
        <v>96</v>
      </c>
      <c r="F129" s="35" t="s">
        <v>96</v>
      </c>
      <c r="G129" s="35" t="s">
        <v>760</v>
      </c>
      <c r="H129" s="35" t="s">
        <v>108</v>
      </c>
      <c r="I129" s="35" t="s">
        <v>132</v>
      </c>
      <c r="J129" s="35" t="s">
        <v>401</v>
      </c>
      <c r="K129" s="35" t="s">
        <v>53</v>
      </c>
      <c r="L129" s="35" t="s">
        <v>54</v>
      </c>
      <c r="M129" s="35" t="s">
        <v>136</v>
      </c>
      <c r="N129" s="35" t="s">
        <v>46</v>
      </c>
      <c r="O129" s="35" t="s">
        <v>139</v>
      </c>
      <c r="P129" s="35" t="s">
        <v>138</v>
      </c>
      <c r="Q129" s="35" t="s">
        <v>48</v>
      </c>
      <c r="R129" s="35" t="s">
        <v>140</v>
      </c>
      <c r="S129" s="36">
        <v>46043</v>
      </c>
      <c r="T129" s="36"/>
      <c r="U129" s="35" t="s">
        <v>141</v>
      </c>
      <c r="V129" s="35" t="s">
        <v>144</v>
      </c>
      <c r="W129" s="35" t="s">
        <v>441</v>
      </c>
      <c r="X129" s="36">
        <v>46185</v>
      </c>
      <c r="Y129" s="35" t="s">
        <v>389</v>
      </c>
      <c r="Z129" s="4">
        <f>IF(tblEnrollment[[#This Row],[Approved Date]]="",DATE(2026,6,3)-tblEnrollment[[#This Row],[Submitted Date]],tblEnrollment[[#This Row],[Approved Date]]-tblEnrollment[[#This Row],[Submitted Date]])</f>
        <v>133</v>
      </c>
      <c r="AA129" s="4" t="str">
        <f>IF(tblEnrollment[[#This Row],[Current Status]] ="Ready","Completed",IF(Z129&gt;21,"SLA Breached","Within SLA"))</f>
        <v>SLA Breached</v>
      </c>
      <c r="AB129" s="4" t="str">
        <f>IF(tblEnrollment[[#This Row],[Credentialed NPI]] =tblEnrollment[[#This Row],[Enrolled NPI]],"NPI Match","NPI Mismatch")</f>
        <v>NPI Mismatch</v>
      </c>
      <c r="AC129" s="4" t="str">
        <f>IF(OR(tblEnrollment[[#This Row],[Blocker Reason]] ="Individual NPI used instead of Group NPI",tblEnrollment[[#This Row],[Blocker Reason]] ="Credentialed NPI mismatch",tblEnrollment[[#This Row],[Blocker Reason]] ="Incorrect PTAN/Provider number"),"Yes","No")</f>
        <v>Yes</v>
      </c>
      <c r="AD129" s="4" t="str">
        <f>IF(OR(tblEnrollment[[#This Row],[Blocker Reason]] ="Wrong Payer ID",tblEnrollment[[#This Row],[Blocker Reason]] ="Old Payer ID used"),"Yes","No")</f>
        <v>No</v>
      </c>
      <c r="AE129" s="4" t="str">
        <f>IF(OR(tblEnrollment[[#This Row],[Clearinghouse Portal Updated]]="No",tblEnrollment[[#This Row],[Blocker Reason]] ="Clearinghouse portal not updated"),"Yes","No")</f>
        <v>No</v>
      </c>
      <c r="AF12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2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Status]]="Completed",AB129="NPI Match"),"Ready","Not Ready"),"Not Applicable")</f>
        <v>Not Applicable</v>
      </c>
      <c r="AH129" s="4" t="str">
        <f>IF(OR(tblEnrollment[[#This Row],[Enrollment Type]]="ERA",tblEnrollment[[#This Row],[Enrollment Type]]="Claims and ERA"),IF(AND(tblEnrollment[[#This Row],[Credentialing Status]]="Completed",tblEnrollment[[#This Row],[ERA Enrollment Status]]="Approved",tblEnrollment[[#This Row],[Clearinghouse Configuration Status]]="Completed",AB129="NPI Match"),"Ready","Not Ready"),"Not Applicable")</f>
        <v>Not Ready</v>
      </c>
      <c r="AI129" s="4" t="str">
        <f>IF(tblEnrollment[[#This Row],[Blocker Reason]] ="No Blocker","No","Yes")</f>
        <v>Yes</v>
      </c>
    </row>
    <row r="130" spans="1:35" ht="29">
      <c r="A130" s="35" t="s">
        <v>820</v>
      </c>
      <c r="B130" s="35" t="s">
        <v>361</v>
      </c>
      <c r="C130" s="35" t="s">
        <v>821</v>
      </c>
      <c r="D130" s="35" t="s">
        <v>822</v>
      </c>
      <c r="E130" s="35" t="s">
        <v>101</v>
      </c>
      <c r="F130" s="35" t="s">
        <v>101</v>
      </c>
      <c r="G130" s="35" t="s">
        <v>101</v>
      </c>
      <c r="H130" s="35" t="s">
        <v>113</v>
      </c>
      <c r="I130" s="35" t="s">
        <v>51</v>
      </c>
      <c r="J130" s="35" t="s">
        <v>52</v>
      </c>
      <c r="K130" s="35" t="s">
        <v>53</v>
      </c>
      <c r="L130" s="35" t="s">
        <v>54</v>
      </c>
      <c r="M130" s="35" t="s">
        <v>136</v>
      </c>
      <c r="N130" s="35" t="s">
        <v>46</v>
      </c>
      <c r="O130" s="35" t="s">
        <v>139</v>
      </c>
      <c r="P130" s="35" t="s">
        <v>47</v>
      </c>
      <c r="Q130" s="35" t="s">
        <v>48</v>
      </c>
      <c r="R130" s="35" t="s">
        <v>46</v>
      </c>
      <c r="S130" s="36">
        <v>46073</v>
      </c>
      <c r="T130" s="36">
        <v>46089</v>
      </c>
      <c r="U130" s="35" t="s">
        <v>49</v>
      </c>
      <c r="V130" s="35" t="s">
        <v>348</v>
      </c>
      <c r="W130" s="35" t="s">
        <v>349</v>
      </c>
      <c r="X130" s="36">
        <v>46186</v>
      </c>
      <c r="Y130" s="35" t="s">
        <v>350</v>
      </c>
      <c r="Z130" s="4">
        <f>IF(tblEnrollment[[#This Row],[Approved Date]]="",DATE(2026,6,3)-tblEnrollment[[#This Row],[Submitted Date]],tblEnrollment[[#This Row],[Approved Date]]-tblEnrollment[[#This Row],[Submitted Date]])</f>
        <v>16</v>
      </c>
      <c r="AA130" s="4" t="str">
        <f>IF(tblEnrollment[[#This Row],[Current Status]] ="Ready","Completed",IF(Z130&gt;21,"SLA Breached","Within SLA"))</f>
        <v>Completed</v>
      </c>
      <c r="AB130" s="4" t="str">
        <f>IF(tblEnrollment[[#This Row],[Credentialed NPI]] =tblEnrollment[[#This Row],[Enrolled NPI]],"NPI Match","NPI Mismatch")</f>
        <v>NPI Match</v>
      </c>
      <c r="AC130" s="4" t="str">
        <f>IF(OR(tblEnrollment[[#This Row],[Blocker Reason]] ="Individual NPI used instead of Group NPI",tblEnrollment[[#This Row],[Blocker Reason]] ="Credentialed NPI mismatch",tblEnrollment[[#This Row],[Blocker Reason]] ="Incorrect PTAN/Provider number"),"Yes","No")</f>
        <v>No</v>
      </c>
      <c r="AD130" s="4" t="str">
        <f>IF(OR(tblEnrollment[[#This Row],[Blocker Reason]] ="Wrong Payer ID",tblEnrollment[[#This Row],[Blocker Reason]] ="Old Payer ID used"),"Yes","No")</f>
        <v>No</v>
      </c>
      <c r="AE130" s="4" t="str">
        <f>IF(OR(tblEnrollment[[#This Row],[Clearinghouse Portal Updated]]="No",tblEnrollment[[#This Row],[Blocker Reason]] ="Clearinghouse portal not updated"),"Yes","No")</f>
        <v>No</v>
      </c>
      <c r="AF13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3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Status]]="Completed",AB130="NPI Match"),"Ready","Not Ready"),"Not Applicable")</f>
        <v>Not Applicable</v>
      </c>
      <c r="AH130" s="4" t="str">
        <f>IF(OR(tblEnrollment[[#This Row],[Enrollment Type]]="ERA",tblEnrollment[[#This Row],[Enrollment Type]]="Claims and ERA"),IF(AND(tblEnrollment[[#This Row],[Credentialing Status]]="Completed",tblEnrollment[[#This Row],[ERA Enrollment Status]]="Approved",tblEnrollment[[#This Row],[Clearinghouse Configuration Status]]="Completed",AB130="NPI Match"),"Ready","Not Ready"),"Not Applicable")</f>
        <v>Ready</v>
      </c>
      <c r="AI130" s="4" t="str">
        <f>IF(tblEnrollment[[#This Row],[Blocker Reason]] ="No Blocker","No","Yes")</f>
        <v>No</v>
      </c>
    </row>
    <row r="131" spans="1:35" ht="29">
      <c r="A131" s="35" t="s">
        <v>823</v>
      </c>
      <c r="B131" s="35" t="s">
        <v>62</v>
      </c>
      <c r="C131" s="35" t="s">
        <v>824</v>
      </c>
      <c r="D131" s="35" t="s">
        <v>825</v>
      </c>
      <c r="E131" s="35" t="s">
        <v>826</v>
      </c>
      <c r="F131" s="35" t="s">
        <v>826</v>
      </c>
      <c r="G131" s="35" t="s">
        <v>825</v>
      </c>
      <c r="H131" s="35" t="s">
        <v>397</v>
      </c>
      <c r="I131" s="35" t="s">
        <v>129</v>
      </c>
      <c r="J131" s="35" t="s">
        <v>134</v>
      </c>
      <c r="K131" s="35" t="s">
        <v>44</v>
      </c>
      <c r="L131" s="35" t="s">
        <v>827</v>
      </c>
      <c r="M131" s="35" t="s">
        <v>136</v>
      </c>
      <c r="N131" s="35" t="s">
        <v>46</v>
      </c>
      <c r="O131" s="35" t="s">
        <v>139</v>
      </c>
      <c r="P131" s="35" t="s">
        <v>138</v>
      </c>
      <c r="Q131" s="35" t="s">
        <v>48</v>
      </c>
      <c r="R131" s="35" t="s">
        <v>140</v>
      </c>
      <c r="S131" s="36">
        <v>46077</v>
      </c>
      <c r="T131" s="36"/>
      <c r="U131" s="35" t="s">
        <v>141</v>
      </c>
      <c r="V131" s="35" t="s">
        <v>412</v>
      </c>
      <c r="W131" s="35" t="s">
        <v>441</v>
      </c>
      <c r="X131" s="36">
        <v>46181</v>
      </c>
      <c r="Y131" s="35" t="s">
        <v>413</v>
      </c>
      <c r="Z131" s="4">
        <f>IF(tblEnrollment[[#This Row],[Approved Date]]="",DATE(2026,6,3)-tblEnrollment[[#This Row],[Submitted Date]],tblEnrollment[[#This Row],[Approved Date]]-tblEnrollment[[#This Row],[Submitted Date]])</f>
        <v>99</v>
      </c>
      <c r="AA131" s="4" t="str">
        <f>IF(tblEnrollment[[#This Row],[Current Status]] ="Ready","Completed",IF(Z131&gt;21,"SLA Breached","Within SLA"))</f>
        <v>SLA Breached</v>
      </c>
      <c r="AB131" s="4" t="str">
        <f>IF(tblEnrollment[[#This Row],[Credentialed NPI]] =tblEnrollment[[#This Row],[Enrolled NPI]],"NPI Match","NPI Mismatch")</f>
        <v>NPI Mismatch</v>
      </c>
      <c r="AC131" s="4" t="str">
        <f>IF(OR(tblEnrollment[[#This Row],[Blocker Reason]] ="Individual NPI used instead of Group NPI",tblEnrollment[[#This Row],[Blocker Reason]] ="Credentialed NPI mismatch",tblEnrollment[[#This Row],[Blocker Reason]] ="Incorrect PTAN/Provider number"),"Yes","No")</f>
        <v>Yes</v>
      </c>
      <c r="AD131" s="4" t="str">
        <f>IF(OR(tblEnrollment[[#This Row],[Blocker Reason]] ="Wrong Payer ID",tblEnrollment[[#This Row],[Blocker Reason]] ="Old Payer ID used"),"Yes","No")</f>
        <v>No</v>
      </c>
      <c r="AE131" s="4" t="str">
        <f>IF(OR(tblEnrollment[[#This Row],[Clearinghouse Portal Updated]]="No",tblEnrollment[[#This Row],[Blocker Reason]] ="Clearinghouse portal not updated"),"Yes","No")</f>
        <v>No</v>
      </c>
      <c r="AF13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3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Status]]="Completed",AB131="NPI Match"),"Ready","Not Ready"),"Not Applicable")</f>
        <v>Not Applicable</v>
      </c>
      <c r="AH131" s="4" t="str">
        <f>IF(OR(tblEnrollment[[#This Row],[Enrollment Type]]="ERA",tblEnrollment[[#This Row],[Enrollment Type]]="Claims and ERA"),IF(AND(tblEnrollment[[#This Row],[Credentialing Status]]="Completed",tblEnrollment[[#This Row],[ERA Enrollment Status]]="Approved",tblEnrollment[[#This Row],[Clearinghouse Configuration Status]]="Completed",AB131="NPI Match"),"Ready","Not Ready"),"Not Applicable")</f>
        <v>Not Ready</v>
      </c>
      <c r="AI131" s="4" t="str">
        <f>IF(tblEnrollment[[#This Row],[Blocker Reason]] ="No Blocker","No","Yes")</f>
        <v>Yes</v>
      </c>
    </row>
    <row r="132" spans="1:35" ht="29">
      <c r="A132" s="35" t="s">
        <v>828</v>
      </c>
      <c r="B132" s="35" t="s">
        <v>391</v>
      </c>
      <c r="C132" s="35" t="s">
        <v>829</v>
      </c>
      <c r="D132" s="35" t="s">
        <v>830</v>
      </c>
      <c r="E132" s="35" t="s">
        <v>87</v>
      </c>
      <c r="F132" s="35" t="s">
        <v>87</v>
      </c>
      <c r="G132" s="35" t="s">
        <v>87</v>
      </c>
      <c r="H132" s="35" t="s">
        <v>382</v>
      </c>
      <c r="I132" s="35" t="s">
        <v>43</v>
      </c>
      <c r="J132" s="35" t="s">
        <v>831</v>
      </c>
      <c r="K132" s="35" t="s">
        <v>44</v>
      </c>
      <c r="L132" s="35" t="s">
        <v>832</v>
      </c>
      <c r="M132" s="35" t="s">
        <v>55</v>
      </c>
      <c r="N132" s="35" t="s">
        <v>46</v>
      </c>
      <c r="O132" s="35" t="s">
        <v>138</v>
      </c>
      <c r="P132" s="35" t="s">
        <v>139</v>
      </c>
      <c r="Q132" s="35" t="s">
        <v>48</v>
      </c>
      <c r="R132" s="35" t="s">
        <v>140</v>
      </c>
      <c r="S132" s="36">
        <v>46057</v>
      </c>
      <c r="T132" s="36"/>
      <c r="U132" s="35" t="s">
        <v>141</v>
      </c>
      <c r="V132" s="35" t="s">
        <v>329</v>
      </c>
      <c r="W132" s="35" t="s">
        <v>349</v>
      </c>
      <c r="X132" s="36">
        <v>46180</v>
      </c>
      <c r="Y132" s="35" t="s">
        <v>331</v>
      </c>
      <c r="Z132" s="4">
        <f>IF(tblEnrollment[[#This Row],[Approved Date]]="",DATE(2026,6,3)-tblEnrollment[[#This Row],[Submitted Date]],tblEnrollment[[#This Row],[Approved Date]]-tblEnrollment[[#This Row],[Submitted Date]])</f>
        <v>119</v>
      </c>
      <c r="AA132" s="4" t="str">
        <f>IF(tblEnrollment[[#This Row],[Current Status]] ="Ready","Completed",IF(Z132&gt;21,"SLA Breached","Within SLA"))</f>
        <v>SLA Breached</v>
      </c>
      <c r="AB132" s="4" t="str">
        <f>IF(tblEnrollment[[#This Row],[Credentialed NPI]] =tblEnrollment[[#This Row],[Enrolled NPI]],"NPI Match","NPI Mismatch")</f>
        <v>NPI Match</v>
      </c>
      <c r="AC132" s="4" t="str">
        <f>IF(OR(tblEnrollment[[#This Row],[Blocker Reason]] ="Individual NPI used instead of Group NPI",tblEnrollment[[#This Row],[Blocker Reason]] ="Credentialed NPI mismatch",tblEnrollment[[#This Row],[Blocker Reason]] ="Incorrect PTAN/Provider number"),"Yes","No")</f>
        <v>No</v>
      </c>
      <c r="AD132" s="4" t="str">
        <f>IF(OR(tblEnrollment[[#This Row],[Blocker Reason]] ="Wrong Payer ID",tblEnrollment[[#This Row],[Blocker Reason]] ="Old Payer ID used"),"Yes","No")</f>
        <v>Yes</v>
      </c>
      <c r="AE132" s="4" t="str">
        <f>IF(OR(tblEnrollment[[#This Row],[Clearinghouse Portal Updated]]="No",tblEnrollment[[#This Row],[Blocker Reason]] ="Clearinghouse portal not updated"),"Yes","No")</f>
        <v>No</v>
      </c>
      <c r="AF13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3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Status]]="Completed",AB132="NPI Match"),"Ready","Not Ready"),"Not Applicable")</f>
        <v>Not Ready</v>
      </c>
      <c r="AH132" s="4" t="str">
        <f>IF(OR(tblEnrollment[[#This Row],[Enrollment Type]]="ERA",tblEnrollment[[#This Row],[Enrollment Type]]="Claims and ERA"),IF(AND(tblEnrollment[[#This Row],[Credentialing Status]]="Completed",tblEnrollment[[#This Row],[ERA Enrollment Status]]="Approved",tblEnrollment[[#This Row],[Clearinghouse Configuration Status]]="Completed",AB132="NPI Match"),"Ready","Not Ready"),"Not Applicable")</f>
        <v>Not Applicable</v>
      </c>
      <c r="AI132" s="4" t="str">
        <f>IF(tblEnrollment[[#This Row],[Blocker Reason]] ="No Blocker","No","Yes")</f>
        <v>Yes</v>
      </c>
    </row>
    <row r="133" spans="1:35" ht="29">
      <c r="A133" s="35" t="s">
        <v>833</v>
      </c>
      <c r="B133" s="35" t="s">
        <v>71</v>
      </c>
      <c r="C133" s="35" t="s">
        <v>834</v>
      </c>
      <c r="D133" s="35" t="s">
        <v>835</v>
      </c>
      <c r="E133" s="35" t="s">
        <v>560</v>
      </c>
      <c r="F133" s="35" t="s">
        <v>560</v>
      </c>
      <c r="G133" s="35" t="s">
        <v>835</v>
      </c>
      <c r="H133" s="35" t="s">
        <v>465</v>
      </c>
      <c r="I133" s="35" t="s">
        <v>51</v>
      </c>
      <c r="J133" s="35" t="s">
        <v>52</v>
      </c>
      <c r="K133" s="35" t="s">
        <v>53</v>
      </c>
      <c r="L133" s="35" t="s">
        <v>54</v>
      </c>
      <c r="M133" s="35" t="s">
        <v>55</v>
      </c>
      <c r="N133" s="35" t="s">
        <v>46</v>
      </c>
      <c r="O133" s="35" t="s">
        <v>138</v>
      </c>
      <c r="P133" s="35" t="s">
        <v>139</v>
      </c>
      <c r="Q133" s="35" t="s">
        <v>48</v>
      </c>
      <c r="R133" s="35" t="s">
        <v>140</v>
      </c>
      <c r="S133" s="36">
        <v>46125</v>
      </c>
      <c r="T133" s="36"/>
      <c r="U133" s="35" t="s">
        <v>141</v>
      </c>
      <c r="V133" s="35" t="s">
        <v>412</v>
      </c>
      <c r="W133" s="35" t="s">
        <v>330</v>
      </c>
      <c r="X133" s="36">
        <v>46182</v>
      </c>
      <c r="Y133" s="35" t="s">
        <v>413</v>
      </c>
      <c r="Z133" s="4">
        <f>IF(tblEnrollment[[#This Row],[Approved Date]]="",DATE(2026,6,3)-tblEnrollment[[#This Row],[Submitted Date]],tblEnrollment[[#This Row],[Approved Date]]-tblEnrollment[[#This Row],[Submitted Date]])</f>
        <v>51</v>
      </c>
      <c r="AA133" s="4" t="str">
        <f>IF(tblEnrollment[[#This Row],[Current Status]] ="Ready","Completed",IF(Z133&gt;21,"SLA Breached","Within SLA"))</f>
        <v>SLA Breached</v>
      </c>
      <c r="AB133" s="4" t="str">
        <f>IF(tblEnrollment[[#This Row],[Credentialed NPI]] =tblEnrollment[[#This Row],[Enrolled NPI]],"NPI Match","NPI Mismatch")</f>
        <v>NPI Mismatch</v>
      </c>
      <c r="AC133" s="4" t="str">
        <f>IF(OR(tblEnrollment[[#This Row],[Blocker Reason]] ="Individual NPI used instead of Group NPI",tblEnrollment[[#This Row],[Blocker Reason]] ="Credentialed NPI mismatch",tblEnrollment[[#This Row],[Blocker Reason]] ="Incorrect PTAN/Provider number"),"Yes","No")</f>
        <v>Yes</v>
      </c>
      <c r="AD133" s="4" t="str">
        <f>IF(OR(tblEnrollment[[#This Row],[Blocker Reason]] ="Wrong Payer ID",tblEnrollment[[#This Row],[Blocker Reason]] ="Old Payer ID used"),"Yes","No")</f>
        <v>No</v>
      </c>
      <c r="AE133" s="4" t="str">
        <f>IF(OR(tblEnrollment[[#This Row],[Clearinghouse Portal Updated]]="No",tblEnrollment[[#This Row],[Blocker Reason]] ="Clearinghouse portal not updated"),"Yes","No")</f>
        <v>No</v>
      </c>
      <c r="AF13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3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Status]]="Completed",AB133="NPI Match"),"Ready","Not Ready"),"Not Applicable")</f>
        <v>Not Ready</v>
      </c>
      <c r="AH133" s="4" t="str">
        <f>IF(OR(tblEnrollment[[#This Row],[Enrollment Type]]="ERA",tblEnrollment[[#This Row],[Enrollment Type]]="Claims and ERA"),IF(AND(tblEnrollment[[#This Row],[Credentialing Status]]="Completed",tblEnrollment[[#This Row],[ERA Enrollment Status]]="Approved",tblEnrollment[[#This Row],[Clearinghouse Configuration Status]]="Completed",AB133="NPI Match"),"Ready","Not Ready"),"Not Applicable")</f>
        <v>Not Applicable</v>
      </c>
      <c r="AI133" s="4" t="str">
        <f>IF(tblEnrollment[[#This Row],[Blocker Reason]] ="No Blocker","No","Yes")</f>
        <v>Yes</v>
      </c>
    </row>
    <row r="134" spans="1:35" ht="29">
      <c r="A134" s="35" t="s">
        <v>836</v>
      </c>
      <c r="B134" s="35" t="s">
        <v>77</v>
      </c>
      <c r="C134" s="35" t="s">
        <v>837</v>
      </c>
      <c r="D134" s="35" t="s">
        <v>838</v>
      </c>
      <c r="E134" s="35" t="s">
        <v>826</v>
      </c>
      <c r="F134" s="35" t="s">
        <v>826</v>
      </c>
      <c r="G134" s="35" t="s">
        <v>826</v>
      </c>
      <c r="H134" s="35" t="s">
        <v>419</v>
      </c>
      <c r="I134" s="35" t="s">
        <v>131</v>
      </c>
      <c r="J134" s="35" t="s">
        <v>342</v>
      </c>
      <c r="K134" s="35" t="s">
        <v>53</v>
      </c>
      <c r="L134" s="35" t="s">
        <v>54</v>
      </c>
      <c r="M134" s="35" t="s">
        <v>136</v>
      </c>
      <c r="N134" s="35" t="s">
        <v>46</v>
      </c>
      <c r="O134" s="35" t="s">
        <v>139</v>
      </c>
      <c r="P134" s="35" t="s">
        <v>47</v>
      </c>
      <c r="Q134" s="35" t="s">
        <v>48</v>
      </c>
      <c r="R134" s="35" t="s">
        <v>46</v>
      </c>
      <c r="S134" s="36">
        <v>46051</v>
      </c>
      <c r="T134" s="36">
        <v>46058</v>
      </c>
      <c r="U134" s="35" t="s">
        <v>49</v>
      </c>
      <c r="V134" s="35" t="s">
        <v>348</v>
      </c>
      <c r="W134" s="35" t="s">
        <v>441</v>
      </c>
      <c r="X134" s="36">
        <v>46179</v>
      </c>
      <c r="Y134" s="35" t="s">
        <v>350</v>
      </c>
      <c r="Z134" s="4">
        <f>IF(tblEnrollment[[#This Row],[Approved Date]]="",DATE(2026,6,3)-tblEnrollment[[#This Row],[Submitted Date]],tblEnrollment[[#This Row],[Approved Date]]-tblEnrollment[[#This Row],[Submitted Date]])</f>
        <v>7</v>
      </c>
      <c r="AA134" s="4" t="str">
        <f>IF(tblEnrollment[[#This Row],[Current Status]] ="Ready","Completed",IF(Z134&gt;21,"SLA Breached","Within SLA"))</f>
        <v>Completed</v>
      </c>
      <c r="AB134" s="4" t="str">
        <f>IF(tblEnrollment[[#This Row],[Credentialed NPI]] =tblEnrollment[[#This Row],[Enrolled NPI]],"NPI Match","NPI Mismatch")</f>
        <v>NPI Match</v>
      </c>
      <c r="AC134" s="4" t="str">
        <f>IF(OR(tblEnrollment[[#This Row],[Blocker Reason]] ="Individual NPI used instead of Group NPI",tblEnrollment[[#This Row],[Blocker Reason]] ="Credentialed NPI mismatch",tblEnrollment[[#This Row],[Blocker Reason]] ="Incorrect PTAN/Provider number"),"Yes","No")</f>
        <v>No</v>
      </c>
      <c r="AD134" s="4" t="str">
        <f>IF(OR(tblEnrollment[[#This Row],[Blocker Reason]] ="Wrong Payer ID",tblEnrollment[[#This Row],[Blocker Reason]] ="Old Payer ID used"),"Yes","No")</f>
        <v>No</v>
      </c>
      <c r="AE134" s="4" t="str">
        <f>IF(OR(tblEnrollment[[#This Row],[Clearinghouse Portal Updated]]="No",tblEnrollment[[#This Row],[Blocker Reason]] ="Clearinghouse portal not updated"),"Yes","No")</f>
        <v>No</v>
      </c>
      <c r="AF13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3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Status]]="Completed",AB134="NPI Match"),"Ready","Not Ready"),"Not Applicable")</f>
        <v>Not Applicable</v>
      </c>
      <c r="AH134" s="4" t="str">
        <f>IF(OR(tblEnrollment[[#This Row],[Enrollment Type]]="ERA",tblEnrollment[[#This Row],[Enrollment Type]]="Claims and ERA"),IF(AND(tblEnrollment[[#This Row],[Credentialing Status]]="Completed",tblEnrollment[[#This Row],[ERA Enrollment Status]]="Approved",tblEnrollment[[#This Row],[Clearinghouse Configuration Status]]="Completed",AB134="NPI Match"),"Ready","Not Ready"),"Not Applicable")</f>
        <v>Ready</v>
      </c>
      <c r="AI134" s="4" t="str">
        <f>IF(tblEnrollment[[#This Row],[Blocker Reason]] ="No Blocker","No","Yes")</f>
        <v>No</v>
      </c>
    </row>
    <row r="135" spans="1:35" ht="29">
      <c r="A135" s="35" t="s">
        <v>839</v>
      </c>
      <c r="B135" s="35" t="s">
        <v>391</v>
      </c>
      <c r="C135" s="35" t="s">
        <v>840</v>
      </c>
      <c r="D135" s="35" t="s">
        <v>841</v>
      </c>
      <c r="E135" s="35" t="s">
        <v>98</v>
      </c>
      <c r="F135" s="35" t="s">
        <v>98</v>
      </c>
      <c r="G135" s="35" t="s">
        <v>98</v>
      </c>
      <c r="H135" s="35" t="s">
        <v>727</v>
      </c>
      <c r="I135" s="35" t="s">
        <v>51</v>
      </c>
      <c r="J135" s="35" t="s">
        <v>52</v>
      </c>
      <c r="K135" s="35" t="s">
        <v>53</v>
      </c>
      <c r="L135" s="35" t="s">
        <v>54</v>
      </c>
      <c r="M135" s="35" t="s">
        <v>136</v>
      </c>
      <c r="N135" s="35" t="s">
        <v>46</v>
      </c>
      <c r="O135" s="35" t="s">
        <v>139</v>
      </c>
      <c r="P135" s="35" t="s">
        <v>47</v>
      </c>
      <c r="Q135" s="35" t="s">
        <v>48</v>
      </c>
      <c r="R135" s="35" t="s">
        <v>46</v>
      </c>
      <c r="S135" s="36">
        <v>46147</v>
      </c>
      <c r="T135" s="36">
        <v>46156</v>
      </c>
      <c r="U135" s="35" t="s">
        <v>49</v>
      </c>
      <c r="V135" s="35" t="s">
        <v>348</v>
      </c>
      <c r="W135" s="35" t="s">
        <v>349</v>
      </c>
      <c r="X135" s="36">
        <v>46178</v>
      </c>
      <c r="Y135" s="35" t="s">
        <v>350</v>
      </c>
      <c r="Z135" s="4">
        <f>IF(tblEnrollment[[#This Row],[Approved Date]]="",DATE(2026,6,3)-tblEnrollment[[#This Row],[Submitted Date]],tblEnrollment[[#This Row],[Approved Date]]-tblEnrollment[[#This Row],[Submitted Date]])</f>
        <v>9</v>
      </c>
      <c r="AA135" s="4" t="str">
        <f>IF(tblEnrollment[[#This Row],[Current Status]] ="Ready","Completed",IF(Z135&gt;21,"SLA Breached","Within SLA"))</f>
        <v>Completed</v>
      </c>
      <c r="AB135" s="4" t="str">
        <f>IF(tblEnrollment[[#This Row],[Credentialed NPI]] =tblEnrollment[[#This Row],[Enrolled NPI]],"NPI Match","NPI Mismatch")</f>
        <v>NPI Match</v>
      </c>
      <c r="AC135" s="4" t="str">
        <f>IF(OR(tblEnrollment[[#This Row],[Blocker Reason]] ="Individual NPI used instead of Group NPI",tblEnrollment[[#This Row],[Blocker Reason]] ="Credentialed NPI mismatch",tblEnrollment[[#This Row],[Blocker Reason]] ="Incorrect PTAN/Provider number"),"Yes","No")</f>
        <v>No</v>
      </c>
      <c r="AD135" s="4" t="str">
        <f>IF(OR(tblEnrollment[[#This Row],[Blocker Reason]] ="Wrong Payer ID",tblEnrollment[[#This Row],[Blocker Reason]] ="Old Payer ID used"),"Yes","No")</f>
        <v>No</v>
      </c>
      <c r="AE135" s="4" t="str">
        <f>IF(OR(tblEnrollment[[#This Row],[Clearinghouse Portal Updated]]="No",tblEnrollment[[#This Row],[Blocker Reason]] ="Clearinghouse portal not updated"),"Yes","No")</f>
        <v>No</v>
      </c>
      <c r="AF13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3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Status]]="Completed",AB135="NPI Match"),"Ready","Not Ready"),"Not Applicable")</f>
        <v>Not Applicable</v>
      </c>
      <c r="AH135" s="4" t="str">
        <f>IF(OR(tblEnrollment[[#This Row],[Enrollment Type]]="ERA",tblEnrollment[[#This Row],[Enrollment Type]]="Claims and ERA"),IF(AND(tblEnrollment[[#This Row],[Credentialing Status]]="Completed",tblEnrollment[[#This Row],[ERA Enrollment Status]]="Approved",tblEnrollment[[#This Row],[Clearinghouse Configuration Status]]="Completed",AB135="NPI Match"),"Ready","Not Ready"),"Not Applicable")</f>
        <v>Ready</v>
      </c>
      <c r="AI135" s="4" t="str">
        <f>IF(tblEnrollment[[#This Row],[Blocker Reason]] ="No Blocker","No","Yes")</f>
        <v>No</v>
      </c>
    </row>
    <row r="136" spans="1:35" ht="29">
      <c r="A136" s="35" t="s">
        <v>842</v>
      </c>
      <c r="B136" s="35" t="s">
        <v>72</v>
      </c>
      <c r="C136" s="35" t="s">
        <v>523</v>
      </c>
      <c r="D136" s="35" t="s">
        <v>843</v>
      </c>
      <c r="E136" s="35" t="s">
        <v>456</v>
      </c>
      <c r="F136" s="35" t="s">
        <v>456</v>
      </c>
      <c r="G136" s="35" t="s">
        <v>456</v>
      </c>
      <c r="H136" s="35" t="s">
        <v>598</v>
      </c>
      <c r="I136" s="35" t="s">
        <v>132</v>
      </c>
      <c r="J136" s="35" t="s">
        <v>401</v>
      </c>
      <c r="K136" s="35" t="s">
        <v>53</v>
      </c>
      <c r="L136" s="35" t="s">
        <v>54</v>
      </c>
      <c r="M136" s="35" t="s">
        <v>136</v>
      </c>
      <c r="N136" s="35" t="s">
        <v>46</v>
      </c>
      <c r="O136" s="35" t="s">
        <v>139</v>
      </c>
      <c r="P136" s="35" t="s">
        <v>56</v>
      </c>
      <c r="Q136" s="35" t="s">
        <v>58</v>
      </c>
      <c r="R136" s="35" t="s">
        <v>56</v>
      </c>
      <c r="S136" s="36">
        <v>46047</v>
      </c>
      <c r="T136" s="36"/>
      <c r="U136" s="35" t="s">
        <v>56</v>
      </c>
      <c r="V136" s="35" t="s">
        <v>143</v>
      </c>
      <c r="W136" s="35" t="s">
        <v>330</v>
      </c>
      <c r="X136" s="36">
        <v>46182</v>
      </c>
      <c r="Y136" s="35" t="s">
        <v>343</v>
      </c>
      <c r="Z136" s="4">
        <f>IF(tblEnrollment[[#This Row],[Approved Date]]="",DATE(2026,6,3)-tblEnrollment[[#This Row],[Submitted Date]],tblEnrollment[[#This Row],[Approved Date]]-tblEnrollment[[#This Row],[Submitted Date]])</f>
        <v>129</v>
      </c>
      <c r="AA136" s="4" t="str">
        <f>IF(tblEnrollment[[#This Row],[Current Status]] ="Ready","Completed",IF(Z136&gt;21,"SLA Breached","Within SLA"))</f>
        <v>SLA Breached</v>
      </c>
      <c r="AB136" s="4" t="str">
        <f>IF(tblEnrollment[[#This Row],[Credentialed NPI]] =tblEnrollment[[#This Row],[Enrolled NPI]],"NPI Match","NPI Mismatch")</f>
        <v>NPI Match</v>
      </c>
      <c r="AC136" s="4" t="str">
        <f>IF(OR(tblEnrollment[[#This Row],[Blocker Reason]] ="Individual NPI used instead of Group NPI",tblEnrollment[[#This Row],[Blocker Reason]] ="Credentialed NPI mismatch",tblEnrollment[[#This Row],[Blocker Reason]] ="Incorrect PTAN/Provider number"),"Yes","No")</f>
        <v>No</v>
      </c>
      <c r="AD136" s="4" t="str">
        <f>IF(OR(tblEnrollment[[#This Row],[Blocker Reason]] ="Wrong Payer ID",tblEnrollment[[#This Row],[Blocker Reason]] ="Old Payer ID used"),"Yes","No")</f>
        <v>No</v>
      </c>
      <c r="AE136" s="4" t="str">
        <f>IF(OR(tblEnrollment[[#This Row],[Clearinghouse Portal Updated]]="No",tblEnrollment[[#This Row],[Blocker Reason]] ="Clearinghouse portal not updated"),"Yes","No")</f>
        <v>Yes</v>
      </c>
      <c r="AF13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3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Status]]="Completed",AB136="NPI Match"),"Ready","Not Ready"),"Not Applicable")</f>
        <v>Not Applicable</v>
      </c>
      <c r="AH136" s="4" t="str">
        <f>IF(OR(tblEnrollment[[#This Row],[Enrollment Type]]="ERA",tblEnrollment[[#This Row],[Enrollment Type]]="Claims and ERA"),IF(AND(tblEnrollment[[#This Row],[Credentialing Status]]="Completed",tblEnrollment[[#This Row],[ERA Enrollment Status]]="Approved",tblEnrollment[[#This Row],[Clearinghouse Configuration Status]]="Completed",AB136="NPI Match"),"Ready","Not Ready"),"Not Applicable")</f>
        <v>Not Ready</v>
      </c>
      <c r="AI136" s="4" t="str">
        <f>IF(tblEnrollment[[#This Row],[Blocker Reason]] ="No Blocker","No","Yes")</f>
        <v>Yes</v>
      </c>
    </row>
    <row r="137" spans="1:35" ht="29">
      <c r="A137" s="35" t="s">
        <v>844</v>
      </c>
      <c r="B137" s="35" t="s">
        <v>471</v>
      </c>
      <c r="C137" s="35" t="s">
        <v>845</v>
      </c>
      <c r="D137" s="35" t="s">
        <v>846</v>
      </c>
      <c r="E137" s="35" t="s">
        <v>102</v>
      </c>
      <c r="F137" s="35" t="s">
        <v>102</v>
      </c>
      <c r="G137" s="35" t="s">
        <v>846</v>
      </c>
      <c r="H137" s="35" t="s">
        <v>847</v>
      </c>
      <c r="I137" s="35" t="s">
        <v>346</v>
      </c>
      <c r="J137" s="35" t="s">
        <v>347</v>
      </c>
      <c r="K137" s="35" t="s">
        <v>53</v>
      </c>
      <c r="L137" s="35" t="s">
        <v>54</v>
      </c>
      <c r="M137" s="35" t="s">
        <v>136</v>
      </c>
      <c r="N137" s="35" t="s">
        <v>46</v>
      </c>
      <c r="O137" s="35" t="s">
        <v>139</v>
      </c>
      <c r="P137" s="35" t="s">
        <v>138</v>
      </c>
      <c r="Q137" s="35" t="s">
        <v>48</v>
      </c>
      <c r="R137" s="35" t="s">
        <v>140</v>
      </c>
      <c r="S137" s="36">
        <v>46143</v>
      </c>
      <c r="T137" s="36"/>
      <c r="U137" s="35" t="s">
        <v>141</v>
      </c>
      <c r="V137" s="35" t="s">
        <v>412</v>
      </c>
      <c r="W137" s="35" t="s">
        <v>330</v>
      </c>
      <c r="X137" s="36">
        <v>46180</v>
      </c>
      <c r="Y137" s="35" t="s">
        <v>413</v>
      </c>
      <c r="Z137" s="4">
        <f>IF(tblEnrollment[[#This Row],[Approved Date]]="",DATE(2026,6,3)-tblEnrollment[[#This Row],[Submitted Date]],tblEnrollment[[#This Row],[Approved Date]]-tblEnrollment[[#This Row],[Submitted Date]])</f>
        <v>33</v>
      </c>
      <c r="AA137" s="4" t="str">
        <f>IF(tblEnrollment[[#This Row],[Current Status]] ="Ready","Completed",IF(Z137&gt;21,"SLA Breached","Within SLA"))</f>
        <v>SLA Breached</v>
      </c>
      <c r="AB137" s="4" t="str">
        <f>IF(tblEnrollment[[#This Row],[Credentialed NPI]] =tblEnrollment[[#This Row],[Enrolled NPI]],"NPI Match","NPI Mismatch")</f>
        <v>NPI Mismatch</v>
      </c>
      <c r="AC137" s="4" t="str">
        <f>IF(OR(tblEnrollment[[#This Row],[Blocker Reason]] ="Individual NPI used instead of Group NPI",tblEnrollment[[#This Row],[Blocker Reason]] ="Credentialed NPI mismatch",tblEnrollment[[#This Row],[Blocker Reason]] ="Incorrect PTAN/Provider number"),"Yes","No")</f>
        <v>Yes</v>
      </c>
      <c r="AD137" s="4" t="str">
        <f>IF(OR(tblEnrollment[[#This Row],[Blocker Reason]] ="Wrong Payer ID",tblEnrollment[[#This Row],[Blocker Reason]] ="Old Payer ID used"),"Yes","No")</f>
        <v>No</v>
      </c>
      <c r="AE137" s="4" t="str">
        <f>IF(OR(tblEnrollment[[#This Row],[Clearinghouse Portal Updated]]="No",tblEnrollment[[#This Row],[Blocker Reason]] ="Clearinghouse portal not updated"),"Yes","No")</f>
        <v>No</v>
      </c>
      <c r="AF13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3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Status]]="Completed",AB137="NPI Match"),"Ready","Not Ready"),"Not Applicable")</f>
        <v>Not Applicable</v>
      </c>
      <c r="AH137" s="4" t="str">
        <f>IF(OR(tblEnrollment[[#This Row],[Enrollment Type]]="ERA",tblEnrollment[[#This Row],[Enrollment Type]]="Claims and ERA"),IF(AND(tblEnrollment[[#This Row],[Credentialing Status]]="Completed",tblEnrollment[[#This Row],[ERA Enrollment Status]]="Approved",tblEnrollment[[#This Row],[Clearinghouse Configuration Status]]="Completed",AB137="NPI Match"),"Ready","Not Ready"),"Not Applicable")</f>
        <v>Not Ready</v>
      </c>
      <c r="AI137" s="4" t="str">
        <f>IF(tblEnrollment[[#This Row],[Blocker Reason]] ="No Blocker","No","Yes")</f>
        <v>Yes</v>
      </c>
    </row>
    <row r="138" spans="1:35" ht="29">
      <c r="A138" s="35" t="s">
        <v>848</v>
      </c>
      <c r="B138" s="35" t="s">
        <v>16</v>
      </c>
      <c r="C138" s="35" t="s">
        <v>849</v>
      </c>
      <c r="D138" s="35" t="s">
        <v>850</v>
      </c>
      <c r="E138" s="35" t="s">
        <v>681</v>
      </c>
      <c r="F138" s="35" t="s">
        <v>681</v>
      </c>
      <c r="G138" s="35" t="s">
        <v>681</v>
      </c>
      <c r="H138" s="35" t="s">
        <v>363</v>
      </c>
      <c r="I138" s="35" t="s">
        <v>130</v>
      </c>
      <c r="J138" s="35" t="s">
        <v>393</v>
      </c>
      <c r="K138" s="35" t="s">
        <v>53</v>
      </c>
      <c r="L138" s="35" t="s">
        <v>54</v>
      </c>
      <c r="M138" s="35" t="s">
        <v>45</v>
      </c>
      <c r="N138" s="35" t="s">
        <v>46</v>
      </c>
      <c r="O138" s="35" t="s">
        <v>56</v>
      </c>
      <c r="P138" s="35" t="s">
        <v>56</v>
      </c>
      <c r="Q138" s="35" t="s">
        <v>48</v>
      </c>
      <c r="R138" s="35" t="s">
        <v>137</v>
      </c>
      <c r="S138" s="36">
        <v>46059</v>
      </c>
      <c r="T138" s="36"/>
      <c r="U138" s="35" t="s">
        <v>56</v>
      </c>
      <c r="V138" s="35" t="s">
        <v>148</v>
      </c>
      <c r="W138" s="35" t="s">
        <v>330</v>
      </c>
      <c r="X138" s="36">
        <v>46182</v>
      </c>
      <c r="Y138" s="35" t="s">
        <v>359</v>
      </c>
      <c r="Z138" s="4">
        <f>IF(tblEnrollment[[#This Row],[Approved Date]]="",DATE(2026,6,3)-tblEnrollment[[#This Row],[Submitted Date]],tblEnrollment[[#This Row],[Approved Date]]-tblEnrollment[[#This Row],[Submitted Date]])</f>
        <v>117</v>
      </c>
      <c r="AA138" s="4" t="str">
        <f>IF(tblEnrollment[[#This Row],[Current Status]] ="Ready","Completed",IF(Z138&gt;21,"SLA Breached","Within SLA"))</f>
        <v>SLA Breached</v>
      </c>
      <c r="AB138" s="4" t="str">
        <f>IF(tblEnrollment[[#This Row],[Credentialed NPI]] =tblEnrollment[[#This Row],[Enrolled NPI]],"NPI Match","NPI Mismatch")</f>
        <v>NPI Match</v>
      </c>
      <c r="AC138" s="4" t="str">
        <f>IF(OR(tblEnrollment[[#This Row],[Blocker Reason]] ="Individual NPI used instead of Group NPI",tblEnrollment[[#This Row],[Blocker Reason]] ="Credentialed NPI mismatch",tblEnrollment[[#This Row],[Blocker Reason]] ="Incorrect PTAN/Provider number"),"Yes","No")</f>
        <v>No</v>
      </c>
      <c r="AD138" s="4" t="str">
        <f>IF(OR(tblEnrollment[[#This Row],[Blocker Reason]] ="Wrong Payer ID",tblEnrollment[[#This Row],[Blocker Reason]] ="Old Payer ID used"),"Yes","No")</f>
        <v>No</v>
      </c>
      <c r="AE138" s="4" t="str">
        <f>IF(OR(tblEnrollment[[#This Row],[Clearinghouse Portal Updated]]="No",tblEnrollment[[#This Row],[Blocker Reason]] ="Clearinghouse portal not updated"),"Yes","No")</f>
        <v>No</v>
      </c>
      <c r="AF13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3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Status]]="Completed",AB138="NPI Match"),"Ready","Not Ready"),"Not Applicable")</f>
        <v>Not Ready</v>
      </c>
      <c r="AH138" s="4" t="str">
        <f>IF(OR(tblEnrollment[[#This Row],[Enrollment Type]]="ERA",tblEnrollment[[#This Row],[Enrollment Type]]="Claims and ERA"),IF(AND(tblEnrollment[[#This Row],[Credentialing Status]]="Completed",tblEnrollment[[#This Row],[ERA Enrollment Status]]="Approved",tblEnrollment[[#This Row],[Clearinghouse Configuration Status]]="Completed",AB138="NPI Match"),"Ready","Not Ready"),"Not Applicable")</f>
        <v>Not Ready</v>
      </c>
      <c r="AI138" s="4" t="str">
        <f>IF(tblEnrollment[[#This Row],[Blocker Reason]] ="No Blocker","No","Yes")</f>
        <v>Yes</v>
      </c>
    </row>
    <row r="139" spans="1:35" ht="29">
      <c r="A139" s="35" t="s">
        <v>851</v>
      </c>
      <c r="B139" s="35" t="s">
        <v>513</v>
      </c>
      <c r="C139" s="35" t="s">
        <v>852</v>
      </c>
      <c r="D139" s="35" t="s">
        <v>853</v>
      </c>
      <c r="E139" s="35" t="s">
        <v>826</v>
      </c>
      <c r="F139" s="35" t="s">
        <v>826</v>
      </c>
      <c r="G139" s="35" t="s">
        <v>826</v>
      </c>
      <c r="H139" s="35" t="s">
        <v>126</v>
      </c>
      <c r="I139" s="35" t="s">
        <v>43</v>
      </c>
      <c r="J139" s="35" t="s">
        <v>357</v>
      </c>
      <c r="K139" s="35" t="s">
        <v>44</v>
      </c>
      <c r="L139" s="35" t="s">
        <v>854</v>
      </c>
      <c r="M139" s="35" t="s">
        <v>136</v>
      </c>
      <c r="N139" s="35" t="s">
        <v>46</v>
      </c>
      <c r="O139" s="35" t="s">
        <v>139</v>
      </c>
      <c r="P139" s="35" t="s">
        <v>56</v>
      </c>
      <c r="Q139" s="35" t="s">
        <v>58</v>
      </c>
      <c r="R139" s="35" t="s">
        <v>56</v>
      </c>
      <c r="S139" s="36">
        <v>46123</v>
      </c>
      <c r="T139" s="36"/>
      <c r="U139" s="35" t="s">
        <v>56</v>
      </c>
      <c r="V139" s="35" t="s">
        <v>143</v>
      </c>
      <c r="W139" s="35" t="s">
        <v>441</v>
      </c>
      <c r="X139" s="36">
        <v>46179</v>
      </c>
      <c r="Y139" s="35" t="s">
        <v>343</v>
      </c>
      <c r="Z139" s="4">
        <f>IF(tblEnrollment[[#This Row],[Approved Date]]="",DATE(2026,6,3)-tblEnrollment[[#This Row],[Submitted Date]],tblEnrollment[[#This Row],[Approved Date]]-tblEnrollment[[#This Row],[Submitted Date]])</f>
        <v>53</v>
      </c>
      <c r="AA139" s="4" t="str">
        <f>IF(tblEnrollment[[#This Row],[Current Status]] ="Ready","Completed",IF(Z139&gt;21,"SLA Breached","Within SLA"))</f>
        <v>SLA Breached</v>
      </c>
      <c r="AB139" s="4" t="str">
        <f>IF(tblEnrollment[[#This Row],[Credentialed NPI]] =tblEnrollment[[#This Row],[Enrolled NPI]],"NPI Match","NPI Mismatch")</f>
        <v>NPI Match</v>
      </c>
      <c r="AC139" s="4" t="str">
        <f>IF(OR(tblEnrollment[[#This Row],[Blocker Reason]] ="Individual NPI used instead of Group NPI",tblEnrollment[[#This Row],[Blocker Reason]] ="Credentialed NPI mismatch",tblEnrollment[[#This Row],[Blocker Reason]] ="Incorrect PTAN/Provider number"),"Yes","No")</f>
        <v>No</v>
      </c>
      <c r="AD139" s="4" t="str">
        <f>IF(OR(tblEnrollment[[#This Row],[Blocker Reason]] ="Wrong Payer ID",tblEnrollment[[#This Row],[Blocker Reason]] ="Old Payer ID used"),"Yes","No")</f>
        <v>No</v>
      </c>
      <c r="AE139" s="4" t="str">
        <f>IF(OR(tblEnrollment[[#This Row],[Clearinghouse Portal Updated]]="No",tblEnrollment[[#This Row],[Blocker Reason]] ="Clearinghouse portal not updated"),"Yes","No")</f>
        <v>Yes</v>
      </c>
      <c r="AF13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3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Status]]="Completed",AB139="NPI Match"),"Ready","Not Ready"),"Not Applicable")</f>
        <v>Not Applicable</v>
      </c>
      <c r="AH139" s="4" t="str">
        <f>IF(OR(tblEnrollment[[#This Row],[Enrollment Type]]="ERA",tblEnrollment[[#This Row],[Enrollment Type]]="Claims and ERA"),IF(AND(tblEnrollment[[#This Row],[Credentialing Status]]="Completed",tblEnrollment[[#This Row],[ERA Enrollment Status]]="Approved",tblEnrollment[[#This Row],[Clearinghouse Configuration Status]]="Completed",AB139="NPI Match"),"Ready","Not Ready"),"Not Applicable")</f>
        <v>Not Ready</v>
      </c>
      <c r="AI139" s="4" t="str">
        <f>IF(tblEnrollment[[#This Row],[Blocker Reason]] ="No Blocker","No","Yes")</f>
        <v>Yes</v>
      </c>
    </row>
    <row r="140" spans="1:35" ht="29">
      <c r="A140" s="35" t="s">
        <v>855</v>
      </c>
      <c r="B140" s="35" t="s">
        <v>60</v>
      </c>
      <c r="C140" s="35" t="s">
        <v>596</v>
      </c>
      <c r="D140" s="35" t="s">
        <v>856</v>
      </c>
      <c r="E140" s="35" t="s">
        <v>89</v>
      </c>
      <c r="F140" s="35" t="s">
        <v>89</v>
      </c>
      <c r="G140" s="35" t="s">
        <v>89</v>
      </c>
      <c r="H140" s="35" t="s">
        <v>457</v>
      </c>
      <c r="I140" s="35" t="s">
        <v>346</v>
      </c>
      <c r="J140" s="35" t="s">
        <v>347</v>
      </c>
      <c r="K140" s="35" t="s">
        <v>53</v>
      </c>
      <c r="L140" s="35" t="s">
        <v>54</v>
      </c>
      <c r="M140" s="35" t="s">
        <v>45</v>
      </c>
      <c r="N140" s="35" t="s">
        <v>46</v>
      </c>
      <c r="O140" s="35" t="s">
        <v>56</v>
      </c>
      <c r="P140" s="35" t="s">
        <v>56</v>
      </c>
      <c r="Q140" s="35" t="s">
        <v>48</v>
      </c>
      <c r="R140" s="35" t="s">
        <v>137</v>
      </c>
      <c r="S140" s="36">
        <v>46126</v>
      </c>
      <c r="T140" s="36"/>
      <c r="U140" s="35" t="s">
        <v>56</v>
      </c>
      <c r="V140" s="35" t="s">
        <v>148</v>
      </c>
      <c r="W140" s="35" t="s">
        <v>365</v>
      </c>
      <c r="X140" s="36">
        <v>46181</v>
      </c>
      <c r="Y140" s="35" t="s">
        <v>359</v>
      </c>
      <c r="Z140" s="4">
        <f>IF(tblEnrollment[[#This Row],[Approved Date]]="",DATE(2026,6,3)-tblEnrollment[[#This Row],[Submitted Date]],tblEnrollment[[#This Row],[Approved Date]]-tblEnrollment[[#This Row],[Submitted Date]])</f>
        <v>50</v>
      </c>
      <c r="AA140" s="4" t="str">
        <f>IF(tblEnrollment[[#This Row],[Current Status]] ="Ready","Completed",IF(Z140&gt;21,"SLA Breached","Within SLA"))</f>
        <v>SLA Breached</v>
      </c>
      <c r="AB140" s="4" t="str">
        <f>IF(tblEnrollment[[#This Row],[Credentialed NPI]] =tblEnrollment[[#This Row],[Enrolled NPI]],"NPI Match","NPI Mismatch")</f>
        <v>NPI Match</v>
      </c>
      <c r="AC140" s="4" t="str">
        <f>IF(OR(tblEnrollment[[#This Row],[Blocker Reason]] ="Individual NPI used instead of Group NPI",tblEnrollment[[#This Row],[Blocker Reason]] ="Credentialed NPI mismatch",tblEnrollment[[#This Row],[Blocker Reason]] ="Incorrect PTAN/Provider number"),"Yes","No")</f>
        <v>No</v>
      </c>
      <c r="AD140" s="4" t="str">
        <f>IF(OR(tblEnrollment[[#This Row],[Blocker Reason]] ="Wrong Payer ID",tblEnrollment[[#This Row],[Blocker Reason]] ="Old Payer ID used"),"Yes","No")</f>
        <v>No</v>
      </c>
      <c r="AE140" s="4" t="str">
        <f>IF(OR(tblEnrollment[[#This Row],[Clearinghouse Portal Updated]]="No",tblEnrollment[[#This Row],[Blocker Reason]] ="Clearinghouse portal not updated"),"Yes","No")</f>
        <v>No</v>
      </c>
      <c r="AF14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4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Status]]="Completed",AB140="NPI Match"),"Ready","Not Ready"),"Not Applicable")</f>
        <v>Not Ready</v>
      </c>
      <c r="AH140" s="4" t="str">
        <f>IF(OR(tblEnrollment[[#This Row],[Enrollment Type]]="ERA",tblEnrollment[[#This Row],[Enrollment Type]]="Claims and ERA"),IF(AND(tblEnrollment[[#This Row],[Credentialing Status]]="Completed",tblEnrollment[[#This Row],[ERA Enrollment Status]]="Approved",tblEnrollment[[#This Row],[Clearinghouse Configuration Status]]="Completed",AB140="NPI Match"),"Ready","Not Ready"),"Not Applicable")</f>
        <v>Not Ready</v>
      </c>
      <c r="AI140" s="4" t="str">
        <f>IF(tblEnrollment[[#This Row],[Blocker Reason]] ="No Blocker","No","Yes")</f>
        <v>Yes</v>
      </c>
    </row>
    <row r="141" spans="1:35" ht="29">
      <c r="A141" s="35" t="s">
        <v>857</v>
      </c>
      <c r="B141" s="35" t="s">
        <v>61</v>
      </c>
      <c r="C141" s="35" t="s">
        <v>858</v>
      </c>
      <c r="D141" s="35" t="s">
        <v>859</v>
      </c>
      <c r="E141" s="35" t="s">
        <v>94</v>
      </c>
      <c r="F141" s="35" t="s">
        <v>94</v>
      </c>
      <c r="G141" s="35" t="s">
        <v>94</v>
      </c>
      <c r="H141" s="35" t="s">
        <v>606</v>
      </c>
      <c r="I141" s="35" t="s">
        <v>129</v>
      </c>
      <c r="J141" s="35" t="s">
        <v>327</v>
      </c>
      <c r="K141" s="35" t="s">
        <v>44</v>
      </c>
      <c r="L141" s="35" t="s">
        <v>860</v>
      </c>
      <c r="M141" s="35" t="s">
        <v>45</v>
      </c>
      <c r="N141" s="35" t="s">
        <v>46</v>
      </c>
      <c r="O141" s="35" t="s">
        <v>138</v>
      </c>
      <c r="P141" s="35" t="s">
        <v>138</v>
      </c>
      <c r="Q141" s="35" t="s">
        <v>48</v>
      </c>
      <c r="R141" s="35" t="s">
        <v>140</v>
      </c>
      <c r="S141" s="36">
        <v>46082</v>
      </c>
      <c r="T141" s="36"/>
      <c r="U141" s="35" t="s">
        <v>141</v>
      </c>
      <c r="V141" s="35" t="s">
        <v>435</v>
      </c>
      <c r="W141" s="35" t="s">
        <v>349</v>
      </c>
      <c r="X141" s="36">
        <v>46186</v>
      </c>
      <c r="Y141" s="35" t="s">
        <v>436</v>
      </c>
      <c r="Z141" s="4">
        <f>IF(tblEnrollment[[#This Row],[Approved Date]]="",DATE(2026,6,3)-tblEnrollment[[#This Row],[Submitted Date]],tblEnrollment[[#This Row],[Approved Date]]-tblEnrollment[[#This Row],[Submitted Date]])</f>
        <v>94</v>
      </c>
      <c r="AA141" s="4" t="str">
        <f>IF(tblEnrollment[[#This Row],[Current Status]] ="Ready","Completed",IF(Z141&gt;21,"SLA Breached","Within SLA"))</f>
        <v>SLA Breached</v>
      </c>
      <c r="AB141" s="4" t="str">
        <f>IF(tblEnrollment[[#This Row],[Credentialed NPI]] =tblEnrollment[[#This Row],[Enrolled NPI]],"NPI Match","NPI Mismatch")</f>
        <v>NPI Match</v>
      </c>
      <c r="AC141" s="4" t="str">
        <f>IF(OR(tblEnrollment[[#This Row],[Blocker Reason]] ="Individual NPI used instead of Group NPI",tblEnrollment[[#This Row],[Blocker Reason]] ="Credentialed NPI mismatch",tblEnrollment[[#This Row],[Blocker Reason]] ="Incorrect PTAN/Provider number"),"Yes","No")</f>
        <v>No</v>
      </c>
      <c r="AD141" s="4" t="str">
        <f>IF(OR(tblEnrollment[[#This Row],[Blocker Reason]] ="Wrong Payer ID",tblEnrollment[[#This Row],[Blocker Reason]] ="Old Payer ID used"),"Yes","No")</f>
        <v>Yes</v>
      </c>
      <c r="AE141" s="4" t="str">
        <f>IF(OR(tblEnrollment[[#This Row],[Clearinghouse Portal Updated]]="No",tblEnrollment[[#This Row],[Blocker Reason]] ="Clearinghouse portal not updated"),"Yes","No")</f>
        <v>No</v>
      </c>
      <c r="AF14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4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Status]]="Completed",AB141="NPI Match"),"Ready","Not Ready"),"Not Applicable")</f>
        <v>Not Ready</v>
      </c>
      <c r="AH141" s="4" t="str">
        <f>IF(OR(tblEnrollment[[#This Row],[Enrollment Type]]="ERA",tblEnrollment[[#This Row],[Enrollment Type]]="Claims and ERA"),IF(AND(tblEnrollment[[#This Row],[Credentialing Status]]="Completed",tblEnrollment[[#This Row],[ERA Enrollment Status]]="Approved",tblEnrollment[[#This Row],[Clearinghouse Configuration Status]]="Completed",AB141="NPI Match"),"Ready","Not Ready"),"Not Applicable")</f>
        <v>Not Ready</v>
      </c>
      <c r="AI141" s="4" t="str">
        <f>IF(tblEnrollment[[#This Row],[Blocker Reason]] ="No Blocker","No","Yes")</f>
        <v>Yes</v>
      </c>
    </row>
    <row r="142" spans="1:35" ht="29">
      <c r="A142" s="35" t="s">
        <v>861</v>
      </c>
      <c r="B142" s="35" t="s">
        <v>391</v>
      </c>
      <c r="C142" s="35" t="s">
        <v>862</v>
      </c>
      <c r="D142" s="35" t="s">
        <v>863</v>
      </c>
      <c r="E142" s="35" t="s">
        <v>506</v>
      </c>
      <c r="F142" s="35" t="s">
        <v>506</v>
      </c>
      <c r="G142" s="35" t="s">
        <v>506</v>
      </c>
      <c r="H142" s="35" t="s">
        <v>124</v>
      </c>
      <c r="I142" s="35" t="s">
        <v>130</v>
      </c>
      <c r="J142" s="35" t="s">
        <v>393</v>
      </c>
      <c r="K142" s="35" t="s">
        <v>53</v>
      </c>
      <c r="L142" s="35" t="s">
        <v>54</v>
      </c>
      <c r="M142" s="35" t="s">
        <v>45</v>
      </c>
      <c r="N142" s="35" t="s">
        <v>46</v>
      </c>
      <c r="O142" s="35" t="s">
        <v>56</v>
      </c>
      <c r="P142" s="35" t="s">
        <v>56</v>
      </c>
      <c r="Q142" s="35" t="s">
        <v>48</v>
      </c>
      <c r="R142" s="35" t="s">
        <v>137</v>
      </c>
      <c r="S142" s="36">
        <v>46119</v>
      </c>
      <c r="T142" s="36"/>
      <c r="U142" s="35" t="s">
        <v>56</v>
      </c>
      <c r="V142" s="35" t="s">
        <v>148</v>
      </c>
      <c r="W142" s="35" t="s">
        <v>441</v>
      </c>
      <c r="X142" s="36">
        <v>46186</v>
      </c>
      <c r="Y142" s="35" t="s">
        <v>359</v>
      </c>
      <c r="Z142" s="4">
        <f>IF(tblEnrollment[[#This Row],[Approved Date]]="",DATE(2026,6,3)-tblEnrollment[[#This Row],[Submitted Date]],tblEnrollment[[#This Row],[Approved Date]]-tblEnrollment[[#This Row],[Submitted Date]])</f>
        <v>57</v>
      </c>
      <c r="AA142" s="4" t="str">
        <f>IF(tblEnrollment[[#This Row],[Current Status]] ="Ready","Completed",IF(Z142&gt;21,"SLA Breached","Within SLA"))</f>
        <v>SLA Breached</v>
      </c>
      <c r="AB142" s="4" t="str">
        <f>IF(tblEnrollment[[#This Row],[Credentialed NPI]] =tblEnrollment[[#This Row],[Enrolled NPI]],"NPI Match","NPI Mismatch")</f>
        <v>NPI Match</v>
      </c>
      <c r="AC142" s="4" t="str">
        <f>IF(OR(tblEnrollment[[#This Row],[Blocker Reason]] ="Individual NPI used instead of Group NPI",tblEnrollment[[#This Row],[Blocker Reason]] ="Credentialed NPI mismatch",tblEnrollment[[#This Row],[Blocker Reason]] ="Incorrect PTAN/Provider number"),"Yes","No")</f>
        <v>No</v>
      </c>
      <c r="AD142" s="4" t="str">
        <f>IF(OR(tblEnrollment[[#This Row],[Blocker Reason]] ="Wrong Payer ID",tblEnrollment[[#This Row],[Blocker Reason]] ="Old Payer ID used"),"Yes","No")</f>
        <v>No</v>
      </c>
      <c r="AE142" s="4" t="str">
        <f>IF(OR(tblEnrollment[[#This Row],[Clearinghouse Portal Updated]]="No",tblEnrollment[[#This Row],[Blocker Reason]] ="Clearinghouse portal not updated"),"Yes","No")</f>
        <v>No</v>
      </c>
      <c r="AF14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4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Status]]="Completed",AB142="NPI Match"),"Ready","Not Ready"),"Not Applicable")</f>
        <v>Not Ready</v>
      </c>
      <c r="AH142" s="4" t="str">
        <f>IF(OR(tblEnrollment[[#This Row],[Enrollment Type]]="ERA",tblEnrollment[[#This Row],[Enrollment Type]]="Claims and ERA"),IF(AND(tblEnrollment[[#This Row],[Credentialing Status]]="Completed",tblEnrollment[[#This Row],[ERA Enrollment Status]]="Approved",tblEnrollment[[#This Row],[Clearinghouse Configuration Status]]="Completed",AB142="NPI Match"),"Ready","Not Ready"),"Not Applicable")</f>
        <v>Not Ready</v>
      </c>
      <c r="AI142" s="4" t="str">
        <f>IF(tblEnrollment[[#This Row],[Blocker Reason]] ="No Blocker","No","Yes")</f>
        <v>Yes</v>
      </c>
    </row>
    <row r="143" spans="1:35" ht="29">
      <c r="A143" s="35" t="s">
        <v>864</v>
      </c>
      <c r="B143" s="35" t="s">
        <v>70</v>
      </c>
      <c r="C143" s="35" t="s">
        <v>865</v>
      </c>
      <c r="D143" s="35" t="s">
        <v>866</v>
      </c>
      <c r="E143" s="35" t="s">
        <v>550</v>
      </c>
      <c r="F143" s="35" t="s">
        <v>550</v>
      </c>
      <c r="G143" s="35" t="s">
        <v>550</v>
      </c>
      <c r="H143" s="35" t="s">
        <v>114</v>
      </c>
      <c r="I143" s="35" t="s">
        <v>131</v>
      </c>
      <c r="J143" s="35" t="s">
        <v>342</v>
      </c>
      <c r="K143" s="35" t="s">
        <v>53</v>
      </c>
      <c r="L143" s="35" t="s">
        <v>54</v>
      </c>
      <c r="M143" s="35" t="s">
        <v>136</v>
      </c>
      <c r="N143" s="35" t="s">
        <v>46</v>
      </c>
      <c r="O143" s="35" t="s">
        <v>139</v>
      </c>
      <c r="P143" s="35" t="s">
        <v>56</v>
      </c>
      <c r="Q143" s="35" t="s">
        <v>58</v>
      </c>
      <c r="R143" s="35" t="s">
        <v>56</v>
      </c>
      <c r="S143" s="36">
        <v>46051</v>
      </c>
      <c r="T143" s="36"/>
      <c r="U143" s="35" t="s">
        <v>56</v>
      </c>
      <c r="V143" s="35" t="s">
        <v>143</v>
      </c>
      <c r="W143" s="35" t="s">
        <v>338</v>
      </c>
      <c r="X143" s="36">
        <v>46181</v>
      </c>
      <c r="Y143" s="35" t="s">
        <v>343</v>
      </c>
      <c r="Z143" s="4">
        <f>IF(tblEnrollment[[#This Row],[Approved Date]]="",DATE(2026,6,3)-tblEnrollment[[#This Row],[Submitted Date]],tblEnrollment[[#This Row],[Approved Date]]-tblEnrollment[[#This Row],[Submitted Date]])</f>
        <v>125</v>
      </c>
      <c r="AA143" s="4" t="str">
        <f>IF(tblEnrollment[[#This Row],[Current Status]] ="Ready","Completed",IF(Z143&gt;21,"SLA Breached","Within SLA"))</f>
        <v>SLA Breached</v>
      </c>
      <c r="AB143" s="4" t="str">
        <f>IF(tblEnrollment[[#This Row],[Credentialed NPI]] =tblEnrollment[[#This Row],[Enrolled NPI]],"NPI Match","NPI Mismatch")</f>
        <v>NPI Match</v>
      </c>
      <c r="AC143" s="4" t="str">
        <f>IF(OR(tblEnrollment[[#This Row],[Blocker Reason]] ="Individual NPI used instead of Group NPI",tblEnrollment[[#This Row],[Blocker Reason]] ="Credentialed NPI mismatch",tblEnrollment[[#This Row],[Blocker Reason]] ="Incorrect PTAN/Provider number"),"Yes","No")</f>
        <v>No</v>
      </c>
      <c r="AD143" s="4" t="str">
        <f>IF(OR(tblEnrollment[[#This Row],[Blocker Reason]] ="Wrong Payer ID",tblEnrollment[[#This Row],[Blocker Reason]] ="Old Payer ID used"),"Yes","No")</f>
        <v>No</v>
      </c>
      <c r="AE143" s="4" t="str">
        <f>IF(OR(tblEnrollment[[#This Row],[Clearinghouse Portal Updated]]="No",tblEnrollment[[#This Row],[Blocker Reason]] ="Clearinghouse portal not updated"),"Yes","No")</f>
        <v>Yes</v>
      </c>
      <c r="AF14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4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Status]]="Completed",AB143="NPI Match"),"Ready","Not Ready"),"Not Applicable")</f>
        <v>Not Applicable</v>
      </c>
      <c r="AH143" s="4" t="str">
        <f>IF(OR(tblEnrollment[[#This Row],[Enrollment Type]]="ERA",tblEnrollment[[#This Row],[Enrollment Type]]="Claims and ERA"),IF(AND(tblEnrollment[[#This Row],[Credentialing Status]]="Completed",tblEnrollment[[#This Row],[ERA Enrollment Status]]="Approved",tblEnrollment[[#This Row],[Clearinghouse Configuration Status]]="Completed",AB143="NPI Match"),"Ready","Not Ready"),"Not Applicable")</f>
        <v>Not Ready</v>
      </c>
      <c r="AI143" s="4" t="str">
        <f>IF(tblEnrollment[[#This Row],[Blocker Reason]] ="No Blocker","No","Yes")</f>
        <v>Yes</v>
      </c>
    </row>
    <row r="144" spans="1:35" ht="29">
      <c r="A144" s="35" t="s">
        <v>867</v>
      </c>
      <c r="B144" s="35" t="s">
        <v>66</v>
      </c>
      <c r="C144" s="35" t="s">
        <v>868</v>
      </c>
      <c r="D144" s="35" t="s">
        <v>869</v>
      </c>
      <c r="E144" s="35" t="s">
        <v>84</v>
      </c>
      <c r="F144" s="35" t="s">
        <v>84</v>
      </c>
      <c r="G144" s="35" t="s">
        <v>84</v>
      </c>
      <c r="H144" s="35" t="s">
        <v>696</v>
      </c>
      <c r="I144" s="35" t="s">
        <v>43</v>
      </c>
      <c r="J144" s="35" t="s">
        <v>357</v>
      </c>
      <c r="K144" s="35" t="s">
        <v>44</v>
      </c>
      <c r="L144" s="35" t="s">
        <v>870</v>
      </c>
      <c r="M144" s="35" t="s">
        <v>136</v>
      </c>
      <c r="N144" s="35" t="s">
        <v>46</v>
      </c>
      <c r="O144" s="35" t="s">
        <v>139</v>
      </c>
      <c r="P144" s="35" t="s">
        <v>56</v>
      </c>
      <c r="Q144" s="35" t="s">
        <v>58</v>
      </c>
      <c r="R144" s="35" t="s">
        <v>56</v>
      </c>
      <c r="S144" s="36">
        <v>46060</v>
      </c>
      <c r="T144" s="36"/>
      <c r="U144" s="35" t="s">
        <v>56</v>
      </c>
      <c r="V144" s="35" t="s">
        <v>143</v>
      </c>
      <c r="W144" s="35" t="s">
        <v>338</v>
      </c>
      <c r="X144" s="36">
        <v>46185</v>
      </c>
      <c r="Y144" s="35" t="s">
        <v>343</v>
      </c>
      <c r="Z144" s="4">
        <f>IF(tblEnrollment[[#This Row],[Approved Date]]="",DATE(2026,6,3)-tblEnrollment[[#This Row],[Submitted Date]],tblEnrollment[[#This Row],[Approved Date]]-tblEnrollment[[#This Row],[Submitted Date]])</f>
        <v>116</v>
      </c>
      <c r="AA144" s="4" t="str">
        <f>IF(tblEnrollment[[#This Row],[Current Status]] ="Ready","Completed",IF(Z144&gt;21,"SLA Breached","Within SLA"))</f>
        <v>SLA Breached</v>
      </c>
      <c r="AB144" s="4" t="str">
        <f>IF(tblEnrollment[[#This Row],[Credentialed NPI]] =tblEnrollment[[#This Row],[Enrolled NPI]],"NPI Match","NPI Mismatch")</f>
        <v>NPI Match</v>
      </c>
      <c r="AC144" s="4" t="str">
        <f>IF(OR(tblEnrollment[[#This Row],[Blocker Reason]] ="Individual NPI used instead of Group NPI",tblEnrollment[[#This Row],[Blocker Reason]] ="Credentialed NPI mismatch",tblEnrollment[[#This Row],[Blocker Reason]] ="Incorrect PTAN/Provider number"),"Yes","No")</f>
        <v>No</v>
      </c>
      <c r="AD144" s="4" t="str">
        <f>IF(OR(tblEnrollment[[#This Row],[Blocker Reason]] ="Wrong Payer ID",tblEnrollment[[#This Row],[Blocker Reason]] ="Old Payer ID used"),"Yes","No")</f>
        <v>No</v>
      </c>
      <c r="AE144" s="4" t="str">
        <f>IF(OR(tblEnrollment[[#This Row],[Clearinghouse Portal Updated]]="No",tblEnrollment[[#This Row],[Blocker Reason]] ="Clearinghouse portal not updated"),"Yes","No")</f>
        <v>Yes</v>
      </c>
      <c r="AF14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4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Status]]="Completed",AB144="NPI Match"),"Ready","Not Ready"),"Not Applicable")</f>
        <v>Not Applicable</v>
      </c>
      <c r="AH144" s="4" t="str">
        <f>IF(OR(tblEnrollment[[#This Row],[Enrollment Type]]="ERA",tblEnrollment[[#This Row],[Enrollment Type]]="Claims and ERA"),IF(AND(tblEnrollment[[#This Row],[Credentialing Status]]="Completed",tblEnrollment[[#This Row],[ERA Enrollment Status]]="Approved",tblEnrollment[[#This Row],[Clearinghouse Configuration Status]]="Completed",AB144="NPI Match"),"Ready","Not Ready"),"Not Applicable")</f>
        <v>Not Ready</v>
      </c>
      <c r="AI144" s="4" t="str">
        <f>IF(tblEnrollment[[#This Row],[Blocker Reason]] ="No Blocker","No","Yes")</f>
        <v>Yes</v>
      </c>
    </row>
    <row r="145" spans="1:35" ht="29">
      <c r="A145" s="35" t="s">
        <v>871</v>
      </c>
      <c r="B145" s="35" t="s">
        <v>69</v>
      </c>
      <c r="C145" s="35" t="s">
        <v>872</v>
      </c>
      <c r="D145" s="35" t="s">
        <v>873</v>
      </c>
      <c r="E145" s="35" t="s">
        <v>874</v>
      </c>
      <c r="F145" s="35" t="s">
        <v>874</v>
      </c>
      <c r="G145" s="35" t="s">
        <v>874</v>
      </c>
      <c r="H145" s="35" t="s">
        <v>696</v>
      </c>
      <c r="I145" s="35" t="s">
        <v>132</v>
      </c>
      <c r="J145" s="35" t="s">
        <v>401</v>
      </c>
      <c r="K145" s="35" t="s">
        <v>53</v>
      </c>
      <c r="L145" s="35" t="s">
        <v>54</v>
      </c>
      <c r="M145" s="35" t="s">
        <v>45</v>
      </c>
      <c r="N145" s="35" t="s">
        <v>46</v>
      </c>
      <c r="O145" s="35" t="s">
        <v>47</v>
      </c>
      <c r="P145" s="35" t="s">
        <v>47</v>
      </c>
      <c r="Q145" s="35" t="s">
        <v>48</v>
      </c>
      <c r="R145" s="35" t="s">
        <v>46</v>
      </c>
      <c r="S145" s="36">
        <v>46085</v>
      </c>
      <c r="T145" s="36">
        <v>46097</v>
      </c>
      <c r="U145" s="35" t="s">
        <v>49</v>
      </c>
      <c r="V145" s="35" t="s">
        <v>348</v>
      </c>
      <c r="W145" s="35" t="s">
        <v>349</v>
      </c>
      <c r="X145" s="36">
        <v>46185</v>
      </c>
      <c r="Y145" s="35" t="s">
        <v>350</v>
      </c>
      <c r="Z145" s="4">
        <f>IF(tblEnrollment[[#This Row],[Approved Date]]="",DATE(2026,6,3)-tblEnrollment[[#This Row],[Submitted Date]],tblEnrollment[[#This Row],[Approved Date]]-tblEnrollment[[#This Row],[Submitted Date]])</f>
        <v>12</v>
      </c>
      <c r="AA145" s="4" t="str">
        <f>IF(tblEnrollment[[#This Row],[Current Status]] ="Ready","Completed",IF(Z145&gt;21,"SLA Breached","Within SLA"))</f>
        <v>Completed</v>
      </c>
      <c r="AB145" s="4" t="str">
        <f>IF(tblEnrollment[[#This Row],[Credentialed NPI]] =tblEnrollment[[#This Row],[Enrolled NPI]],"NPI Match","NPI Mismatch")</f>
        <v>NPI Match</v>
      </c>
      <c r="AC145" s="4" t="str">
        <f>IF(OR(tblEnrollment[[#This Row],[Blocker Reason]] ="Individual NPI used instead of Group NPI",tblEnrollment[[#This Row],[Blocker Reason]] ="Credentialed NPI mismatch",tblEnrollment[[#This Row],[Blocker Reason]] ="Incorrect PTAN/Provider number"),"Yes","No")</f>
        <v>No</v>
      </c>
      <c r="AD145" s="4" t="str">
        <f>IF(OR(tblEnrollment[[#This Row],[Blocker Reason]] ="Wrong Payer ID",tblEnrollment[[#This Row],[Blocker Reason]] ="Old Payer ID used"),"Yes","No")</f>
        <v>No</v>
      </c>
      <c r="AE145" s="4" t="str">
        <f>IF(OR(tblEnrollment[[#This Row],[Clearinghouse Portal Updated]]="No",tblEnrollment[[#This Row],[Blocker Reason]] ="Clearinghouse portal not updated"),"Yes","No")</f>
        <v>No</v>
      </c>
      <c r="AF14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4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Status]]="Completed",AB145="NPI Match"),"Ready","Not Ready"),"Not Applicable")</f>
        <v>Ready</v>
      </c>
      <c r="AH145" s="4" t="str">
        <f>IF(OR(tblEnrollment[[#This Row],[Enrollment Type]]="ERA",tblEnrollment[[#This Row],[Enrollment Type]]="Claims and ERA"),IF(AND(tblEnrollment[[#This Row],[Credentialing Status]]="Completed",tblEnrollment[[#This Row],[ERA Enrollment Status]]="Approved",tblEnrollment[[#This Row],[Clearinghouse Configuration Status]]="Completed",AB145="NPI Match"),"Ready","Not Ready"),"Not Applicable")</f>
        <v>Ready</v>
      </c>
      <c r="AI145" s="4" t="str">
        <f>IF(tblEnrollment[[#This Row],[Blocker Reason]] ="No Blocker","No","Yes")</f>
        <v>No</v>
      </c>
    </row>
    <row r="146" spans="1:35" ht="29">
      <c r="A146" s="35" t="s">
        <v>875</v>
      </c>
      <c r="B146" s="35" t="s">
        <v>62</v>
      </c>
      <c r="C146" s="35" t="s">
        <v>876</v>
      </c>
      <c r="D146" s="35" t="s">
        <v>877</v>
      </c>
      <c r="E146" s="35" t="s">
        <v>88</v>
      </c>
      <c r="F146" s="35" t="s">
        <v>88</v>
      </c>
      <c r="G146" s="35" t="s">
        <v>88</v>
      </c>
      <c r="H146" s="35" t="s">
        <v>110</v>
      </c>
      <c r="I146" s="35" t="s">
        <v>132</v>
      </c>
      <c r="J146" s="35" t="s">
        <v>401</v>
      </c>
      <c r="K146" s="35" t="s">
        <v>53</v>
      </c>
      <c r="L146" s="35" t="s">
        <v>54</v>
      </c>
      <c r="M146" s="35" t="s">
        <v>45</v>
      </c>
      <c r="N146" s="35" t="s">
        <v>46</v>
      </c>
      <c r="O146" s="35" t="s">
        <v>47</v>
      </c>
      <c r="P146" s="35" t="s">
        <v>56</v>
      </c>
      <c r="Q146" s="35" t="s">
        <v>58</v>
      </c>
      <c r="R146" s="35" t="s">
        <v>56</v>
      </c>
      <c r="S146" s="36">
        <v>46058</v>
      </c>
      <c r="T146" s="36"/>
      <c r="U146" s="35" t="s">
        <v>56</v>
      </c>
      <c r="V146" s="35" t="s">
        <v>143</v>
      </c>
      <c r="W146" s="35" t="s">
        <v>365</v>
      </c>
      <c r="X146" s="36">
        <v>46184</v>
      </c>
      <c r="Y146" s="35" t="s">
        <v>343</v>
      </c>
      <c r="Z146" s="4">
        <f>IF(tblEnrollment[[#This Row],[Approved Date]]="",DATE(2026,6,3)-tblEnrollment[[#This Row],[Submitted Date]],tblEnrollment[[#This Row],[Approved Date]]-tblEnrollment[[#This Row],[Submitted Date]])</f>
        <v>118</v>
      </c>
      <c r="AA146" s="4" t="str">
        <f>IF(tblEnrollment[[#This Row],[Current Status]] ="Ready","Completed",IF(Z146&gt;21,"SLA Breached","Within SLA"))</f>
        <v>SLA Breached</v>
      </c>
      <c r="AB146" s="4" t="str">
        <f>IF(tblEnrollment[[#This Row],[Credentialed NPI]] =tblEnrollment[[#This Row],[Enrolled NPI]],"NPI Match","NPI Mismatch")</f>
        <v>NPI Match</v>
      </c>
      <c r="AC146" s="4" t="str">
        <f>IF(OR(tblEnrollment[[#This Row],[Blocker Reason]] ="Individual NPI used instead of Group NPI",tblEnrollment[[#This Row],[Blocker Reason]] ="Credentialed NPI mismatch",tblEnrollment[[#This Row],[Blocker Reason]] ="Incorrect PTAN/Provider number"),"Yes","No")</f>
        <v>No</v>
      </c>
      <c r="AD146" s="4" t="str">
        <f>IF(OR(tblEnrollment[[#This Row],[Blocker Reason]] ="Wrong Payer ID",tblEnrollment[[#This Row],[Blocker Reason]] ="Old Payer ID used"),"Yes","No")</f>
        <v>No</v>
      </c>
      <c r="AE146" s="4" t="str">
        <f>IF(OR(tblEnrollment[[#This Row],[Clearinghouse Portal Updated]]="No",tblEnrollment[[#This Row],[Blocker Reason]] ="Clearinghouse portal not updated"),"Yes","No")</f>
        <v>Yes</v>
      </c>
      <c r="AF14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4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Status]]="Completed",AB146="NPI Match"),"Ready","Not Ready"),"Not Applicable")</f>
        <v>Not Ready</v>
      </c>
      <c r="AH146" s="4" t="str">
        <f>IF(OR(tblEnrollment[[#This Row],[Enrollment Type]]="ERA",tblEnrollment[[#This Row],[Enrollment Type]]="Claims and ERA"),IF(AND(tblEnrollment[[#This Row],[Credentialing Status]]="Completed",tblEnrollment[[#This Row],[ERA Enrollment Status]]="Approved",tblEnrollment[[#This Row],[Clearinghouse Configuration Status]]="Completed",AB146="NPI Match"),"Ready","Not Ready"),"Not Applicable")</f>
        <v>Not Ready</v>
      </c>
      <c r="AI146" s="4" t="str">
        <f>IF(tblEnrollment[[#This Row],[Blocker Reason]] ="No Blocker","No","Yes")</f>
        <v>Yes</v>
      </c>
    </row>
    <row r="147" spans="1:35" ht="29">
      <c r="A147" s="35" t="s">
        <v>878</v>
      </c>
      <c r="B147" s="35" t="s">
        <v>64</v>
      </c>
      <c r="C147" s="35" t="s">
        <v>879</v>
      </c>
      <c r="D147" s="35" t="s">
        <v>880</v>
      </c>
      <c r="E147" s="35" t="s">
        <v>826</v>
      </c>
      <c r="F147" s="35" t="s">
        <v>826</v>
      </c>
      <c r="G147" s="35" t="s">
        <v>826</v>
      </c>
      <c r="H147" s="35" t="s">
        <v>428</v>
      </c>
      <c r="I147" s="35" t="s">
        <v>346</v>
      </c>
      <c r="J147" s="35" t="s">
        <v>347</v>
      </c>
      <c r="K147" s="35" t="s">
        <v>53</v>
      </c>
      <c r="L147" s="35" t="s">
        <v>54</v>
      </c>
      <c r="M147" s="35" t="s">
        <v>45</v>
      </c>
      <c r="N147" s="35" t="s">
        <v>46</v>
      </c>
      <c r="O147" s="35" t="s">
        <v>47</v>
      </c>
      <c r="P147" s="35" t="s">
        <v>56</v>
      </c>
      <c r="Q147" s="35" t="s">
        <v>58</v>
      </c>
      <c r="R147" s="35" t="s">
        <v>56</v>
      </c>
      <c r="S147" s="36">
        <v>46109</v>
      </c>
      <c r="T147" s="36"/>
      <c r="U147" s="35" t="s">
        <v>56</v>
      </c>
      <c r="V147" s="35" t="s">
        <v>143</v>
      </c>
      <c r="W147" s="35" t="s">
        <v>349</v>
      </c>
      <c r="X147" s="36">
        <v>46182</v>
      </c>
      <c r="Y147" s="35" t="s">
        <v>343</v>
      </c>
      <c r="Z147" s="4">
        <f>IF(tblEnrollment[[#This Row],[Approved Date]]="",DATE(2026,6,3)-tblEnrollment[[#This Row],[Submitted Date]],tblEnrollment[[#This Row],[Approved Date]]-tblEnrollment[[#This Row],[Submitted Date]])</f>
        <v>67</v>
      </c>
      <c r="AA147" s="4" t="str">
        <f>IF(tblEnrollment[[#This Row],[Current Status]] ="Ready","Completed",IF(Z147&gt;21,"SLA Breached","Within SLA"))</f>
        <v>SLA Breached</v>
      </c>
      <c r="AB147" s="4" t="str">
        <f>IF(tblEnrollment[[#This Row],[Credentialed NPI]] =tblEnrollment[[#This Row],[Enrolled NPI]],"NPI Match","NPI Mismatch")</f>
        <v>NPI Match</v>
      </c>
      <c r="AC147" s="4" t="str">
        <f>IF(OR(tblEnrollment[[#This Row],[Blocker Reason]] ="Individual NPI used instead of Group NPI",tblEnrollment[[#This Row],[Blocker Reason]] ="Credentialed NPI mismatch",tblEnrollment[[#This Row],[Blocker Reason]] ="Incorrect PTAN/Provider number"),"Yes","No")</f>
        <v>No</v>
      </c>
      <c r="AD147" s="4" t="str">
        <f>IF(OR(tblEnrollment[[#This Row],[Blocker Reason]] ="Wrong Payer ID",tblEnrollment[[#This Row],[Blocker Reason]] ="Old Payer ID used"),"Yes","No")</f>
        <v>No</v>
      </c>
      <c r="AE147" s="4" t="str">
        <f>IF(OR(tblEnrollment[[#This Row],[Clearinghouse Portal Updated]]="No",tblEnrollment[[#This Row],[Blocker Reason]] ="Clearinghouse portal not updated"),"Yes","No")</f>
        <v>Yes</v>
      </c>
      <c r="AF14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4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Status]]="Completed",AB147="NPI Match"),"Ready","Not Ready"),"Not Applicable")</f>
        <v>Not Ready</v>
      </c>
      <c r="AH147" s="4" t="str">
        <f>IF(OR(tblEnrollment[[#This Row],[Enrollment Type]]="ERA",tblEnrollment[[#This Row],[Enrollment Type]]="Claims and ERA"),IF(AND(tblEnrollment[[#This Row],[Credentialing Status]]="Completed",tblEnrollment[[#This Row],[ERA Enrollment Status]]="Approved",tblEnrollment[[#This Row],[Clearinghouse Configuration Status]]="Completed",AB147="NPI Match"),"Ready","Not Ready"),"Not Applicable")</f>
        <v>Not Ready</v>
      </c>
      <c r="AI147" s="4" t="str">
        <f>IF(tblEnrollment[[#This Row],[Blocker Reason]] ="No Blocker","No","Yes")</f>
        <v>Yes</v>
      </c>
    </row>
    <row r="148" spans="1:35" ht="29">
      <c r="A148" s="35" t="s">
        <v>881</v>
      </c>
      <c r="B148" s="35" t="s">
        <v>77</v>
      </c>
      <c r="C148" s="35" t="s">
        <v>882</v>
      </c>
      <c r="D148" s="35" t="s">
        <v>883</v>
      </c>
      <c r="E148" s="35" t="s">
        <v>353</v>
      </c>
      <c r="F148" s="35" t="s">
        <v>353</v>
      </c>
      <c r="G148" s="35" t="s">
        <v>353</v>
      </c>
      <c r="H148" s="35" t="s">
        <v>124</v>
      </c>
      <c r="I148" s="35" t="s">
        <v>131</v>
      </c>
      <c r="J148" s="35" t="s">
        <v>342</v>
      </c>
      <c r="K148" s="35" t="s">
        <v>53</v>
      </c>
      <c r="L148" s="35" t="s">
        <v>54</v>
      </c>
      <c r="M148" s="35" t="s">
        <v>136</v>
      </c>
      <c r="N148" s="35" t="s">
        <v>46</v>
      </c>
      <c r="O148" s="35" t="s">
        <v>139</v>
      </c>
      <c r="P148" s="35" t="s">
        <v>56</v>
      </c>
      <c r="Q148" s="35" t="s">
        <v>58</v>
      </c>
      <c r="R148" s="35" t="s">
        <v>56</v>
      </c>
      <c r="S148" s="36">
        <v>46135</v>
      </c>
      <c r="T148" s="36"/>
      <c r="U148" s="35" t="s">
        <v>56</v>
      </c>
      <c r="V148" s="35" t="s">
        <v>143</v>
      </c>
      <c r="W148" s="35" t="s">
        <v>441</v>
      </c>
      <c r="X148" s="36">
        <v>46180</v>
      </c>
      <c r="Y148" s="35" t="s">
        <v>343</v>
      </c>
      <c r="Z148" s="4">
        <f>IF(tblEnrollment[[#This Row],[Approved Date]]="",DATE(2026,6,3)-tblEnrollment[[#This Row],[Submitted Date]],tblEnrollment[[#This Row],[Approved Date]]-tblEnrollment[[#This Row],[Submitted Date]])</f>
        <v>41</v>
      </c>
      <c r="AA148" s="4" t="str">
        <f>IF(tblEnrollment[[#This Row],[Current Status]] ="Ready","Completed",IF(Z148&gt;21,"SLA Breached","Within SLA"))</f>
        <v>SLA Breached</v>
      </c>
      <c r="AB148" s="4" t="str">
        <f>IF(tblEnrollment[[#This Row],[Credentialed NPI]] =tblEnrollment[[#This Row],[Enrolled NPI]],"NPI Match","NPI Mismatch")</f>
        <v>NPI Match</v>
      </c>
      <c r="AC148" s="4" t="str">
        <f>IF(OR(tblEnrollment[[#This Row],[Blocker Reason]] ="Individual NPI used instead of Group NPI",tblEnrollment[[#This Row],[Blocker Reason]] ="Credentialed NPI mismatch",tblEnrollment[[#This Row],[Blocker Reason]] ="Incorrect PTAN/Provider number"),"Yes","No")</f>
        <v>No</v>
      </c>
      <c r="AD148" s="4" t="str">
        <f>IF(OR(tblEnrollment[[#This Row],[Blocker Reason]] ="Wrong Payer ID",tblEnrollment[[#This Row],[Blocker Reason]] ="Old Payer ID used"),"Yes","No")</f>
        <v>No</v>
      </c>
      <c r="AE148" s="4" t="str">
        <f>IF(OR(tblEnrollment[[#This Row],[Clearinghouse Portal Updated]]="No",tblEnrollment[[#This Row],[Blocker Reason]] ="Clearinghouse portal not updated"),"Yes","No")</f>
        <v>Yes</v>
      </c>
      <c r="AF14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4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Status]]="Completed",AB148="NPI Match"),"Ready","Not Ready"),"Not Applicable")</f>
        <v>Not Applicable</v>
      </c>
      <c r="AH148" s="4" t="str">
        <f>IF(OR(tblEnrollment[[#This Row],[Enrollment Type]]="ERA",tblEnrollment[[#This Row],[Enrollment Type]]="Claims and ERA"),IF(AND(tblEnrollment[[#This Row],[Credentialing Status]]="Completed",tblEnrollment[[#This Row],[ERA Enrollment Status]]="Approved",tblEnrollment[[#This Row],[Clearinghouse Configuration Status]]="Completed",AB148="NPI Match"),"Ready","Not Ready"),"Not Applicable")</f>
        <v>Not Ready</v>
      </c>
      <c r="AI148" s="4" t="str">
        <f>IF(tblEnrollment[[#This Row],[Blocker Reason]] ="No Blocker","No","Yes")</f>
        <v>Yes</v>
      </c>
    </row>
    <row r="149" spans="1:35" ht="29">
      <c r="A149" s="35" t="s">
        <v>884</v>
      </c>
      <c r="B149" s="35" t="s">
        <v>67</v>
      </c>
      <c r="C149" s="35" t="s">
        <v>885</v>
      </c>
      <c r="D149" s="35" t="s">
        <v>886</v>
      </c>
      <c r="E149" s="35" t="s">
        <v>456</v>
      </c>
      <c r="F149" s="35" t="s">
        <v>456</v>
      </c>
      <c r="G149" s="35" t="s">
        <v>456</v>
      </c>
      <c r="H149" s="35" t="s">
        <v>115</v>
      </c>
      <c r="I149" s="35" t="s">
        <v>129</v>
      </c>
      <c r="J149" s="35" t="s">
        <v>134</v>
      </c>
      <c r="K149" s="35" t="s">
        <v>44</v>
      </c>
      <c r="L149" s="35" t="s">
        <v>887</v>
      </c>
      <c r="M149" s="35" t="s">
        <v>45</v>
      </c>
      <c r="N149" s="35" t="s">
        <v>46</v>
      </c>
      <c r="O149" s="35" t="s">
        <v>47</v>
      </c>
      <c r="P149" s="35" t="s">
        <v>56</v>
      </c>
      <c r="Q149" s="35" t="s">
        <v>58</v>
      </c>
      <c r="R149" s="35" t="s">
        <v>56</v>
      </c>
      <c r="S149" s="36">
        <v>46137</v>
      </c>
      <c r="T149" s="36"/>
      <c r="U149" s="35" t="s">
        <v>56</v>
      </c>
      <c r="V149" s="35" t="s">
        <v>143</v>
      </c>
      <c r="W149" s="35" t="s">
        <v>338</v>
      </c>
      <c r="X149" s="36">
        <v>46178</v>
      </c>
      <c r="Y149" s="35" t="s">
        <v>343</v>
      </c>
      <c r="Z149" s="4">
        <f>IF(tblEnrollment[[#This Row],[Approved Date]]="",DATE(2026,6,3)-tblEnrollment[[#This Row],[Submitted Date]],tblEnrollment[[#This Row],[Approved Date]]-tblEnrollment[[#This Row],[Submitted Date]])</f>
        <v>39</v>
      </c>
      <c r="AA149" s="4" t="str">
        <f>IF(tblEnrollment[[#This Row],[Current Status]] ="Ready","Completed",IF(Z149&gt;21,"SLA Breached","Within SLA"))</f>
        <v>SLA Breached</v>
      </c>
      <c r="AB149" s="4" t="str">
        <f>IF(tblEnrollment[[#This Row],[Credentialed NPI]] =tblEnrollment[[#This Row],[Enrolled NPI]],"NPI Match","NPI Mismatch")</f>
        <v>NPI Match</v>
      </c>
      <c r="AC149" s="4" t="str">
        <f>IF(OR(tblEnrollment[[#This Row],[Blocker Reason]] ="Individual NPI used instead of Group NPI",tblEnrollment[[#This Row],[Blocker Reason]] ="Credentialed NPI mismatch",tblEnrollment[[#This Row],[Blocker Reason]] ="Incorrect PTAN/Provider number"),"Yes","No")</f>
        <v>No</v>
      </c>
      <c r="AD149" s="4" t="str">
        <f>IF(OR(tblEnrollment[[#This Row],[Blocker Reason]] ="Wrong Payer ID",tblEnrollment[[#This Row],[Blocker Reason]] ="Old Payer ID used"),"Yes","No")</f>
        <v>No</v>
      </c>
      <c r="AE149" s="4" t="str">
        <f>IF(OR(tblEnrollment[[#This Row],[Clearinghouse Portal Updated]]="No",tblEnrollment[[#This Row],[Blocker Reason]] ="Clearinghouse portal not updated"),"Yes","No")</f>
        <v>Yes</v>
      </c>
      <c r="AF14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4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Status]]="Completed",AB149="NPI Match"),"Ready","Not Ready"),"Not Applicable")</f>
        <v>Not Ready</v>
      </c>
      <c r="AH149" s="4" t="str">
        <f>IF(OR(tblEnrollment[[#This Row],[Enrollment Type]]="ERA",tblEnrollment[[#This Row],[Enrollment Type]]="Claims and ERA"),IF(AND(tblEnrollment[[#This Row],[Credentialing Status]]="Completed",tblEnrollment[[#This Row],[ERA Enrollment Status]]="Approved",tblEnrollment[[#This Row],[Clearinghouse Configuration Status]]="Completed",AB149="NPI Match"),"Ready","Not Ready"),"Not Applicable")</f>
        <v>Not Ready</v>
      </c>
      <c r="AI149" s="4" t="str">
        <f>IF(tblEnrollment[[#This Row],[Blocker Reason]] ="No Blocker","No","Yes")</f>
        <v>Yes</v>
      </c>
    </row>
    <row r="150" spans="1:35" ht="29">
      <c r="A150" s="35" t="s">
        <v>888</v>
      </c>
      <c r="B150" s="35" t="s">
        <v>66</v>
      </c>
      <c r="C150" s="35" t="s">
        <v>889</v>
      </c>
      <c r="D150" s="35" t="s">
        <v>890</v>
      </c>
      <c r="E150" s="35" t="s">
        <v>712</v>
      </c>
      <c r="F150" s="35" t="s">
        <v>712</v>
      </c>
      <c r="G150" s="35" t="s">
        <v>712</v>
      </c>
      <c r="H150" s="35" t="s">
        <v>356</v>
      </c>
      <c r="I150" s="35" t="s">
        <v>132</v>
      </c>
      <c r="J150" s="35" t="s">
        <v>401</v>
      </c>
      <c r="K150" s="35" t="s">
        <v>53</v>
      </c>
      <c r="L150" s="35" t="s">
        <v>54</v>
      </c>
      <c r="M150" s="35" t="s">
        <v>136</v>
      </c>
      <c r="N150" s="35" t="s">
        <v>46</v>
      </c>
      <c r="O150" s="35" t="s">
        <v>139</v>
      </c>
      <c r="P150" s="35" t="s">
        <v>47</v>
      </c>
      <c r="Q150" s="35" t="s">
        <v>48</v>
      </c>
      <c r="R150" s="35" t="s">
        <v>46</v>
      </c>
      <c r="S150" s="36">
        <v>46171</v>
      </c>
      <c r="T150" s="36">
        <v>46173</v>
      </c>
      <c r="U150" s="35" t="s">
        <v>49</v>
      </c>
      <c r="V150" s="35" t="s">
        <v>348</v>
      </c>
      <c r="W150" s="35" t="s">
        <v>349</v>
      </c>
      <c r="X150" s="36">
        <v>46186</v>
      </c>
      <c r="Y150" s="35" t="s">
        <v>350</v>
      </c>
      <c r="Z150" s="4">
        <f>IF(tblEnrollment[[#This Row],[Approved Date]]="",DATE(2026,6,3)-tblEnrollment[[#This Row],[Submitted Date]],tblEnrollment[[#This Row],[Approved Date]]-tblEnrollment[[#This Row],[Submitted Date]])</f>
        <v>2</v>
      </c>
      <c r="AA150" s="4" t="str">
        <f>IF(tblEnrollment[[#This Row],[Current Status]] ="Ready","Completed",IF(Z150&gt;21,"SLA Breached","Within SLA"))</f>
        <v>Completed</v>
      </c>
      <c r="AB150" s="4" t="str">
        <f>IF(tblEnrollment[[#This Row],[Credentialed NPI]] =tblEnrollment[[#This Row],[Enrolled NPI]],"NPI Match","NPI Mismatch")</f>
        <v>NPI Match</v>
      </c>
      <c r="AC150" s="4" t="str">
        <f>IF(OR(tblEnrollment[[#This Row],[Blocker Reason]] ="Individual NPI used instead of Group NPI",tblEnrollment[[#This Row],[Blocker Reason]] ="Credentialed NPI mismatch",tblEnrollment[[#This Row],[Blocker Reason]] ="Incorrect PTAN/Provider number"),"Yes","No")</f>
        <v>No</v>
      </c>
      <c r="AD150" s="4" t="str">
        <f>IF(OR(tblEnrollment[[#This Row],[Blocker Reason]] ="Wrong Payer ID",tblEnrollment[[#This Row],[Blocker Reason]] ="Old Payer ID used"),"Yes","No")</f>
        <v>No</v>
      </c>
      <c r="AE150" s="4" t="str">
        <f>IF(OR(tblEnrollment[[#This Row],[Clearinghouse Portal Updated]]="No",tblEnrollment[[#This Row],[Blocker Reason]] ="Clearinghouse portal not updated"),"Yes","No")</f>
        <v>No</v>
      </c>
      <c r="AF15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5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Status]]="Completed",AB150="NPI Match"),"Ready","Not Ready"),"Not Applicable")</f>
        <v>Not Applicable</v>
      </c>
      <c r="AH150" s="4" t="str">
        <f>IF(OR(tblEnrollment[[#This Row],[Enrollment Type]]="ERA",tblEnrollment[[#This Row],[Enrollment Type]]="Claims and ERA"),IF(AND(tblEnrollment[[#This Row],[Credentialing Status]]="Completed",tblEnrollment[[#This Row],[ERA Enrollment Status]]="Approved",tblEnrollment[[#This Row],[Clearinghouse Configuration Status]]="Completed",AB150="NPI Match"),"Ready","Not Ready"),"Not Applicable")</f>
        <v>Ready</v>
      </c>
      <c r="AI150" s="4" t="str">
        <f>IF(tblEnrollment[[#This Row],[Blocker Reason]] ="No Blocker","No","Yes")</f>
        <v>No</v>
      </c>
    </row>
    <row r="151" spans="1:35" ht="29">
      <c r="A151" s="35" t="s">
        <v>891</v>
      </c>
      <c r="B151" s="35" t="s">
        <v>16</v>
      </c>
      <c r="C151" s="35" t="s">
        <v>892</v>
      </c>
      <c r="D151" s="35" t="s">
        <v>893</v>
      </c>
      <c r="E151" s="35" t="s">
        <v>93</v>
      </c>
      <c r="F151" s="35" t="s">
        <v>93</v>
      </c>
      <c r="G151" s="35" t="s">
        <v>93</v>
      </c>
      <c r="H151" s="35" t="s">
        <v>114</v>
      </c>
      <c r="I151" s="35" t="s">
        <v>129</v>
      </c>
      <c r="J151" s="35" t="s">
        <v>327</v>
      </c>
      <c r="K151" s="35" t="s">
        <v>44</v>
      </c>
      <c r="L151" s="35" t="s">
        <v>894</v>
      </c>
      <c r="M151" s="35" t="s">
        <v>136</v>
      </c>
      <c r="N151" s="35" t="s">
        <v>46</v>
      </c>
      <c r="O151" s="35" t="s">
        <v>139</v>
      </c>
      <c r="P151" s="35" t="s">
        <v>138</v>
      </c>
      <c r="Q151" s="35" t="s">
        <v>48</v>
      </c>
      <c r="R151" s="35" t="s">
        <v>140</v>
      </c>
      <c r="S151" s="36">
        <v>46094</v>
      </c>
      <c r="T151" s="36"/>
      <c r="U151" s="35" t="s">
        <v>141</v>
      </c>
      <c r="V151" s="35" t="s">
        <v>435</v>
      </c>
      <c r="W151" s="35" t="s">
        <v>365</v>
      </c>
      <c r="X151" s="36">
        <v>46178</v>
      </c>
      <c r="Y151" s="35" t="s">
        <v>436</v>
      </c>
      <c r="Z151" s="4">
        <f>IF(tblEnrollment[[#This Row],[Approved Date]]="",DATE(2026,6,3)-tblEnrollment[[#This Row],[Submitted Date]],tblEnrollment[[#This Row],[Approved Date]]-tblEnrollment[[#This Row],[Submitted Date]])</f>
        <v>82</v>
      </c>
      <c r="AA151" s="4" t="str">
        <f>IF(tblEnrollment[[#This Row],[Current Status]] ="Ready","Completed",IF(Z151&gt;21,"SLA Breached","Within SLA"))</f>
        <v>SLA Breached</v>
      </c>
      <c r="AB151" s="4" t="str">
        <f>IF(tblEnrollment[[#This Row],[Credentialed NPI]] =tblEnrollment[[#This Row],[Enrolled NPI]],"NPI Match","NPI Mismatch")</f>
        <v>NPI Match</v>
      </c>
      <c r="AC151" s="4" t="str">
        <f>IF(OR(tblEnrollment[[#This Row],[Blocker Reason]] ="Individual NPI used instead of Group NPI",tblEnrollment[[#This Row],[Blocker Reason]] ="Credentialed NPI mismatch",tblEnrollment[[#This Row],[Blocker Reason]] ="Incorrect PTAN/Provider number"),"Yes","No")</f>
        <v>No</v>
      </c>
      <c r="AD151" s="4" t="str">
        <f>IF(OR(tblEnrollment[[#This Row],[Blocker Reason]] ="Wrong Payer ID",tblEnrollment[[#This Row],[Blocker Reason]] ="Old Payer ID used"),"Yes","No")</f>
        <v>Yes</v>
      </c>
      <c r="AE151" s="4" t="str">
        <f>IF(OR(tblEnrollment[[#This Row],[Clearinghouse Portal Updated]]="No",tblEnrollment[[#This Row],[Blocker Reason]] ="Clearinghouse portal not updated"),"Yes","No")</f>
        <v>No</v>
      </c>
      <c r="AF15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5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Status]]="Completed",AB151="NPI Match"),"Ready","Not Ready"),"Not Applicable")</f>
        <v>Not Applicable</v>
      </c>
      <c r="AH151" s="4" t="str">
        <f>IF(OR(tblEnrollment[[#This Row],[Enrollment Type]]="ERA",tblEnrollment[[#This Row],[Enrollment Type]]="Claims and ERA"),IF(AND(tblEnrollment[[#This Row],[Credentialing Status]]="Completed",tblEnrollment[[#This Row],[ERA Enrollment Status]]="Approved",tblEnrollment[[#This Row],[Clearinghouse Configuration Status]]="Completed",AB151="NPI Match"),"Ready","Not Ready"),"Not Applicable")</f>
        <v>Not Ready</v>
      </c>
      <c r="AI151" s="4" t="str">
        <f>IF(tblEnrollment[[#This Row],[Blocker Reason]] ="No Blocker","No","Yes")</f>
        <v>Yes</v>
      </c>
    </row>
    <row r="152" spans="1:35" ht="29">
      <c r="A152" s="35" t="s">
        <v>895</v>
      </c>
      <c r="B152" s="35" t="s">
        <v>66</v>
      </c>
      <c r="C152" s="35" t="s">
        <v>896</v>
      </c>
      <c r="D152" s="35" t="s">
        <v>897</v>
      </c>
      <c r="E152" s="35" t="s">
        <v>405</v>
      </c>
      <c r="F152" s="35" t="s">
        <v>405</v>
      </c>
      <c r="G152" s="35" t="s">
        <v>898</v>
      </c>
      <c r="H152" s="35" t="s">
        <v>899</v>
      </c>
      <c r="I152" s="35" t="s">
        <v>132</v>
      </c>
      <c r="J152" s="35" t="s">
        <v>401</v>
      </c>
      <c r="K152" s="35" t="s">
        <v>53</v>
      </c>
      <c r="L152" s="35" t="s">
        <v>54</v>
      </c>
      <c r="M152" s="35" t="s">
        <v>45</v>
      </c>
      <c r="N152" s="35" t="s">
        <v>46</v>
      </c>
      <c r="O152" s="35" t="s">
        <v>138</v>
      </c>
      <c r="P152" s="35" t="s">
        <v>138</v>
      </c>
      <c r="Q152" s="35" t="s">
        <v>48</v>
      </c>
      <c r="R152" s="35" t="s">
        <v>140</v>
      </c>
      <c r="S152" s="36">
        <v>46123</v>
      </c>
      <c r="T152" s="36"/>
      <c r="U152" s="35" t="s">
        <v>141</v>
      </c>
      <c r="V152" s="35" t="s">
        <v>144</v>
      </c>
      <c r="W152" s="35" t="s">
        <v>365</v>
      </c>
      <c r="X152" s="36">
        <v>46185</v>
      </c>
      <c r="Y152" s="35" t="s">
        <v>389</v>
      </c>
      <c r="Z152" s="4">
        <f>IF(tblEnrollment[[#This Row],[Approved Date]]="",DATE(2026,6,3)-tblEnrollment[[#This Row],[Submitted Date]],tblEnrollment[[#This Row],[Approved Date]]-tblEnrollment[[#This Row],[Submitted Date]])</f>
        <v>53</v>
      </c>
      <c r="AA152" s="4" t="str">
        <f>IF(tblEnrollment[[#This Row],[Current Status]] ="Ready","Completed",IF(Z152&gt;21,"SLA Breached","Within SLA"))</f>
        <v>SLA Breached</v>
      </c>
      <c r="AB152" s="4" t="str">
        <f>IF(tblEnrollment[[#This Row],[Credentialed NPI]] =tblEnrollment[[#This Row],[Enrolled NPI]],"NPI Match","NPI Mismatch")</f>
        <v>NPI Mismatch</v>
      </c>
      <c r="AC152" s="4" t="str">
        <f>IF(OR(tblEnrollment[[#This Row],[Blocker Reason]] ="Individual NPI used instead of Group NPI",tblEnrollment[[#This Row],[Blocker Reason]] ="Credentialed NPI mismatch",tblEnrollment[[#This Row],[Blocker Reason]] ="Incorrect PTAN/Provider number"),"Yes","No")</f>
        <v>Yes</v>
      </c>
      <c r="AD152" s="4" t="str">
        <f>IF(OR(tblEnrollment[[#This Row],[Blocker Reason]] ="Wrong Payer ID",tblEnrollment[[#This Row],[Blocker Reason]] ="Old Payer ID used"),"Yes","No")</f>
        <v>No</v>
      </c>
      <c r="AE152" s="4" t="str">
        <f>IF(OR(tblEnrollment[[#This Row],[Clearinghouse Portal Updated]]="No",tblEnrollment[[#This Row],[Blocker Reason]] ="Clearinghouse portal not updated"),"Yes","No")</f>
        <v>No</v>
      </c>
      <c r="AF15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5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Status]]="Completed",AB152="NPI Match"),"Ready","Not Ready"),"Not Applicable")</f>
        <v>Not Ready</v>
      </c>
      <c r="AH152" s="4" t="str">
        <f>IF(OR(tblEnrollment[[#This Row],[Enrollment Type]]="ERA",tblEnrollment[[#This Row],[Enrollment Type]]="Claims and ERA"),IF(AND(tblEnrollment[[#This Row],[Credentialing Status]]="Completed",tblEnrollment[[#This Row],[ERA Enrollment Status]]="Approved",tblEnrollment[[#This Row],[Clearinghouse Configuration Status]]="Completed",AB152="NPI Match"),"Ready","Not Ready"),"Not Applicable")</f>
        <v>Not Ready</v>
      </c>
      <c r="AI152" s="4" t="str">
        <f>IF(tblEnrollment[[#This Row],[Blocker Reason]] ="No Blocker","No","Yes")</f>
        <v>Yes</v>
      </c>
    </row>
    <row r="153" spans="1:35" ht="29">
      <c r="A153" s="35" t="s">
        <v>900</v>
      </c>
      <c r="B153" s="35" t="s">
        <v>62</v>
      </c>
      <c r="C153" s="35" t="s">
        <v>901</v>
      </c>
      <c r="D153" s="35" t="s">
        <v>902</v>
      </c>
      <c r="E153" s="35" t="s">
        <v>409</v>
      </c>
      <c r="F153" s="35" t="s">
        <v>409</v>
      </c>
      <c r="G153" s="35" t="s">
        <v>409</v>
      </c>
      <c r="H153" s="35" t="s">
        <v>356</v>
      </c>
      <c r="I153" s="35" t="s">
        <v>132</v>
      </c>
      <c r="J153" s="35" t="s">
        <v>401</v>
      </c>
      <c r="K153" s="35" t="s">
        <v>53</v>
      </c>
      <c r="L153" s="35" t="s">
        <v>54</v>
      </c>
      <c r="M153" s="35" t="s">
        <v>45</v>
      </c>
      <c r="N153" s="35" t="s">
        <v>46</v>
      </c>
      <c r="O153" s="35" t="s">
        <v>56</v>
      </c>
      <c r="P153" s="35" t="s">
        <v>56</v>
      </c>
      <c r="Q153" s="35" t="s">
        <v>48</v>
      </c>
      <c r="R153" s="35" t="s">
        <v>137</v>
      </c>
      <c r="S153" s="36">
        <v>46149</v>
      </c>
      <c r="T153" s="36"/>
      <c r="U153" s="35" t="s">
        <v>56</v>
      </c>
      <c r="V153" s="35" t="s">
        <v>148</v>
      </c>
      <c r="W153" s="35" t="s">
        <v>349</v>
      </c>
      <c r="X153" s="36">
        <v>46176</v>
      </c>
      <c r="Y153" s="35" t="s">
        <v>359</v>
      </c>
      <c r="Z153" s="4">
        <f>IF(tblEnrollment[[#This Row],[Approved Date]]="",DATE(2026,6,3)-tblEnrollment[[#This Row],[Submitted Date]],tblEnrollment[[#This Row],[Approved Date]]-tblEnrollment[[#This Row],[Submitted Date]])</f>
        <v>27</v>
      </c>
      <c r="AA153" s="4" t="str">
        <f>IF(tblEnrollment[[#This Row],[Current Status]] ="Ready","Completed",IF(Z153&gt;21,"SLA Breached","Within SLA"))</f>
        <v>SLA Breached</v>
      </c>
      <c r="AB153" s="4" t="str">
        <f>IF(tblEnrollment[[#This Row],[Credentialed NPI]] =tblEnrollment[[#This Row],[Enrolled NPI]],"NPI Match","NPI Mismatch")</f>
        <v>NPI Match</v>
      </c>
      <c r="AC153" s="4" t="str">
        <f>IF(OR(tblEnrollment[[#This Row],[Blocker Reason]] ="Individual NPI used instead of Group NPI",tblEnrollment[[#This Row],[Blocker Reason]] ="Credentialed NPI mismatch",tblEnrollment[[#This Row],[Blocker Reason]] ="Incorrect PTAN/Provider number"),"Yes","No")</f>
        <v>No</v>
      </c>
      <c r="AD153" s="4" t="str">
        <f>IF(OR(tblEnrollment[[#This Row],[Blocker Reason]] ="Wrong Payer ID",tblEnrollment[[#This Row],[Blocker Reason]] ="Old Payer ID used"),"Yes","No")</f>
        <v>No</v>
      </c>
      <c r="AE153" s="4" t="str">
        <f>IF(OR(tblEnrollment[[#This Row],[Clearinghouse Portal Updated]]="No",tblEnrollment[[#This Row],[Blocker Reason]] ="Clearinghouse portal not updated"),"Yes","No")</f>
        <v>No</v>
      </c>
      <c r="AF15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5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Status]]="Completed",AB153="NPI Match"),"Ready","Not Ready"),"Not Applicable")</f>
        <v>Not Ready</v>
      </c>
      <c r="AH153" s="4" t="str">
        <f>IF(OR(tblEnrollment[[#This Row],[Enrollment Type]]="ERA",tblEnrollment[[#This Row],[Enrollment Type]]="Claims and ERA"),IF(AND(tblEnrollment[[#This Row],[Credentialing Status]]="Completed",tblEnrollment[[#This Row],[ERA Enrollment Status]]="Approved",tblEnrollment[[#This Row],[Clearinghouse Configuration Status]]="Completed",AB153="NPI Match"),"Ready","Not Ready"),"Not Applicable")</f>
        <v>Not Ready</v>
      </c>
      <c r="AI153" s="4" t="str">
        <f>IF(tblEnrollment[[#This Row],[Blocker Reason]] ="No Blocker","No","Yes")</f>
        <v>Yes</v>
      </c>
    </row>
    <row r="154" spans="1:35" ht="29">
      <c r="A154" s="35" t="s">
        <v>903</v>
      </c>
      <c r="B154" s="35" t="s">
        <v>77</v>
      </c>
      <c r="C154" s="35" t="s">
        <v>904</v>
      </c>
      <c r="D154" s="35" t="s">
        <v>905</v>
      </c>
      <c r="E154" s="35" t="s">
        <v>681</v>
      </c>
      <c r="F154" s="35" t="s">
        <v>681</v>
      </c>
      <c r="G154" s="35" t="s">
        <v>681</v>
      </c>
      <c r="H154" s="35" t="s">
        <v>649</v>
      </c>
      <c r="I154" s="35" t="s">
        <v>51</v>
      </c>
      <c r="J154" s="35" t="s">
        <v>611</v>
      </c>
      <c r="K154" s="35" t="s">
        <v>53</v>
      </c>
      <c r="L154" s="35" t="s">
        <v>54</v>
      </c>
      <c r="M154" s="35" t="s">
        <v>45</v>
      </c>
      <c r="N154" s="35" t="s">
        <v>46</v>
      </c>
      <c r="O154" s="35" t="s">
        <v>138</v>
      </c>
      <c r="P154" s="35" t="s">
        <v>138</v>
      </c>
      <c r="Q154" s="35" t="s">
        <v>48</v>
      </c>
      <c r="R154" s="35" t="s">
        <v>140</v>
      </c>
      <c r="S154" s="36">
        <v>46173</v>
      </c>
      <c r="T154" s="36"/>
      <c r="U154" s="35" t="s">
        <v>141</v>
      </c>
      <c r="V154" s="35" t="s">
        <v>329</v>
      </c>
      <c r="W154" s="35" t="s">
        <v>441</v>
      </c>
      <c r="X154" s="36">
        <v>46179</v>
      </c>
      <c r="Y154" s="35" t="s">
        <v>331</v>
      </c>
      <c r="Z154" s="4">
        <f>IF(tblEnrollment[[#This Row],[Approved Date]]="",DATE(2026,6,3)-tblEnrollment[[#This Row],[Submitted Date]],tblEnrollment[[#This Row],[Approved Date]]-tblEnrollment[[#This Row],[Submitted Date]])</f>
        <v>3</v>
      </c>
      <c r="AA154" s="4" t="str">
        <f>IF(tblEnrollment[[#This Row],[Current Status]] ="Ready","Completed",IF(Z154&gt;21,"SLA Breached","Within SLA"))</f>
        <v>Within SLA</v>
      </c>
      <c r="AB154" s="4" t="str">
        <f>IF(tblEnrollment[[#This Row],[Credentialed NPI]] =tblEnrollment[[#This Row],[Enrolled NPI]],"NPI Match","NPI Mismatch")</f>
        <v>NPI Match</v>
      </c>
      <c r="AC154" s="4" t="str">
        <f>IF(OR(tblEnrollment[[#This Row],[Blocker Reason]] ="Individual NPI used instead of Group NPI",tblEnrollment[[#This Row],[Blocker Reason]] ="Credentialed NPI mismatch",tblEnrollment[[#This Row],[Blocker Reason]] ="Incorrect PTAN/Provider number"),"Yes","No")</f>
        <v>No</v>
      </c>
      <c r="AD154" s="4" t="str">
        <f>IF(OR(tblEnrollment[[#This Row],[Blocker Reason]] ="Wrong Payer ID",tblEnrollment[[#This Row],[Blocker Reason]] ="Old Payer ID used"),"Yes","No")</f>
        <v>Yes</v>
      </c>
      <c r="AE154" s="4" t="str">
        <f>IF(OR(tblEnrollment[[#This Row],[Clearinghouse Portal Updated]]="No",tblEnrollment[[#This Row],[Blocker Reason]] ="Clearinghouse portal not updated"),"Yes","No")</f>
        <v>No</v>
      </c>
      <c r="AF15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5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Status]]="Completed",AB154="NPI Match"),"Ready","Not Ready"),"Not Applicable")</f>
        <v>Not Ready</v>
      </c>
      <c r="AH154" s="4" t="str">
        <f>IF(OR(tblEnrollment[[#This Row],[Enrollment Type]]="ERA",tblEnrollment[[#This Row],[Enrollment Type]]="Claims and ERA"),IF(AND(tblEnrollment[[#This Row],[Credentialing Status]]="Completed",tblEnrollment[[#This Row],[ERA Enrollment Status]]="Approved",tblEnrollment[[#This Row],[Clearinghouse Configuration Status]]="Completed",AB154="NPI Match"),"Ready","Not Ready"),"Not Applicable")</f>
        <v>Not Ready</v>
      </c>
      <c r="AI154" s="4" t="str">
        <f>IF(tblEnrollment[[#This Row],[Blocker Reason]] ="No Blocker","No","Yes")</f>
        <v>Yes</v>
      </c>
    </row>
    <row r="155" spans="1:35" ht="29">
      <c r="A155" s="35" t="s">
        <v>906</v>
      </c>
      <c r="B155" s="35" t="s">
        <v>375</v>
      </c>
      <c r="C155" s="35" t="s">
        <v>907</v>
      </c>
      <c r="D155" s="35" t="s">
        <v>908</v>
      </c>
      <c r="E155" s="35" t="s">
        <v>478</v>
      </c>
      <c r="F155" s="35" t="s">
        <v>478</v>
      </c>
      <c r="G155" s="35" t="s">
        <v>908</v>
      </c>
      <c r="H155" s="35" t="s">
        <v>555</v>
      </c>
      <c r="I155" s="35" t="s">
        <v>346</v>
      </c>
      <c r="J155" s="35" t="s">
        <v>347</v>
      </c>
      <c r="K155" s="35" t="s">
        <v>53</v>
      </c>
      <c r="L155" s="35" t="s">
        <v>54</v>
      </c>
      <c r="M155" s="35" t="s">
        <v>45</v>
      </c>
      <c r="N155" s="35" t="s">
        <v>46</v>
      </c>
      <c r="O155" s="35" t="s">
        <v>138</v>
      </c>
      <c r="P155" s="35" t="s">
        <v>138</v>
      </c>
      <c r="Q155" s="35" t="s">
        <v>48</v>
      </c>
      <c r="R155" s="35" t="s">
        <v>140</v>
      </c>
      <c r="S155" s="36">
        <v>46109</v>
      </c>
      <c r="T155" s="36"/>
      <c r="U155" s="35" t="s">
        <v>141</v>
      </c>
      <c r="V155" s="35" t="s">
        <v>412</v>
      </c>
      <c r="W155" s="35" t="s">
        <v>338</v>
      </c>
      <c r="X155" s="36">
        <v>46182</v>
      </c>
      <c r="Y155" s="35" t="s">
        <v>413</v>
      </c>
      <c r="Z155" s="4">
        <f>IF(tblEnrollment[[#This Row],[Approved Date]]="",DATE(2026,6,3)-tblEnrollment[[#This Row],[Submitted Date]],tblEnrollment[[#This Row],[Approved Date]]-tblEnrollment[[#This Row],[Submitted Date]])</f>
        <v>67</v>
      </c>
      <c r="AA155" s="4" t="str">
        <f>IF(tblEnrollment[[#This Row],[Current Status]] ="Ready","Completed",IF(Z155&gt;21,"SLA Breached","Within SLA"))</f>
        <v>SLA Breached</v>
      </c>
      <c r="AB155" s="4" t="str">
        <f>IF(tblEnrollment[[#This Row],[Credentialed NPI]] =tblEnrollment[[#This Row],[Enrolled NPI]],"NPI Match","NPI Mismatch")</f>
        <v>NPI Mismatch</v>
      </c>
      <c r="AC155" s="4" t="str">
        <f>IF(OR(tblEnrollment[[#This Row],[Blocker Reason]] ="Individual NPI used instead of Group NPI",tblEnrollment[[#This Row],[Blocker Reason]] ="Credentialed NPI mismatch",tblEnrollment[[#This Row],[Blocker Reason]] ="Incorrect PTAN/Provider number"),"Yes","No")</f>
        <v>Yes</v>
      </c>
      <c r="AD155" s="4" t="str">
        <f>IF(OR(tblEnrollment[[#This Row],[Blocker Reason]] ="Wrong Payer ID",tblEnrollment[[#This Row],[Blocker Reason]] ="Old Payer ID used"),"Yes","No")</f>
        <v>No</v>
      </c>
      <c r="AE155" s="4" t="str">
        <f>IF(OR(tblEnrollment[[#This Row],[Clearinghouse Portal Updated]]="No",tblEnrollment[[#This Row],[Blocker Reason]] ="Clearinghouse portal not updated"),"Yes","No")</f>
        <v>No</v>
      </c>
      <c r="AF15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5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Status]]="Completed",AB155="NPI Match"),"Ready","Not Ready"),"Not Applicable")</f>
        <v>Not Ready</v>
      </c>
      <c r="AH155" s="4" t="str">
        <f>IF(OR(tblEnrollment[[#This Row],[Enrollment Type]]="ERA",tblEnrollment[[#This Row],[Enrollment Type]]="Claims and ERA"),IF(AND(tblEnrollment[[#This Row],[Credentialing Status]]="Completed",tblEnrollment[[#This Row],[ERA Enrollment Status]]="Approved",tblEnrollment[[#This Row],[Clearinghouse Configuration Status]]="Completed",AB155="NPI Match"),"Ready","Not Ready"),"Not Applicable")</f>
        <v>Not Ready</v>
      </c>
      <c r="AI155" s="4" t="str">
        <f>IF(tblEnrollment[[#This Row],[Blocker Reason]] ="No Blocker","No","Yes")</f>
        <v>Yes</v>
      </c>
    </row>
    <row r="156" spans="1:35" ht="29">
      <c r="A156" s="35" t="s">
        <v>909</v>
      </c>
      <c r="B156" s="35" t="s">
        <v>361</v>
      </c>
      <c r="C156" s="35" t="s">
        <v>910</v>
      </c>
      <c r="D156" s="35" t="s">
        <v>911</v>
      </c>
      <c r="E156" s="35" t="s">
        <v>334</v>
      </c>
      <c r="F156" s="35" t="s">
        <v>334</v>
      </c>
      <c r="G156" s="35" t="s">
        <v>334</v>
      </c>
      <c r="H156" s="35" t="s">
        <v>120</v>
      </c>
      <c r="I156" s="35" t="s">
        <v>129</v>
      </c>
      <c r="J156" s="35" t="s">
        <v>134</v>
      </c>
      <c r="K156" s="35" t="s">
        <v>44</v>
      </c>
      <c r="L156" s="35" t="s">
        <v>912</v>
      </c>
      <c r="M156" s="35" t="s">
        <v>45</v>
      </c>
      <c r="N156" s="35" t="s">
        <v>46</v>
      </c>
      <c r="O156" s="35" t="s">
        <v>47</v>
      </c>
      <c r="P156" s="35" t="s">
        <v>47</v>
      </c>
      <c r="Q156" s="35" t="s">
        <v>48</v>
      </c>
      <c r="R156" s="35" t="s">
        <v>46</v>
      </c>
      <c r="S156" s="36">
        <v>46160</v>
      </c>
      <c r="T156" s="36">
        <v>46174</v>
      </c>
      <c r="U156" s="35" t="s">
        <v>49</v>
      </c>
      <c r="V156" s="35" t="s">
        <v>348</v>
      </c>
      <c r="W156" s="35" t="s">
        <v>330</v>
      </c>
      <c r="X156" s="36">
        <v>46184</v>
      </c>
      <c r="Y156" s="35" t="s">
        <v>350</v>
      </c>
      <c r="Z156" s="4">
        <f>IF(tblEnrollment[[#This Row],[Approved Date]]="",DATE(2026,6,3)-tblEnrollment[[#This Row],[Submitted Date]],tblEnrollment[[#This Row],[Approved Date]]-tblEnrollment[[#This Row],[Submitted Date]])</f>
        <v>14</v>
      </c>
      <c r="AA156" s="4" t="str">
        <f>IF(tblEnrollment[[#This Row],[Current Status]] ="Ready","Completed",IF(Z156&gt;21,"SLA Breached","Within SLA"))</f>
        <v>Completed</v>
      </c>
      <c r="AB156" s="4" t="str">
        <f>IF(tblEnrollment[[#This Row],[Credentialed NPI]] =tblEnrollment[[#This Row],[Enrolled NPI]],"NPI Match","NPI Mismatch")</f>
        <v>NPI Match</v>
      </c>
      <c r="AC156" s="4" t="str">
        <f>IF(OR(tblEnrollment[[#This Row],[Blocker Reason]] ="Individual NPI used instead of Group NPI",tblEnrollment[[#This Row],[Blocker Reason]] ="Credentialed NPI mismatch",tblEnrollment[[#This Row],[Blocker Reason]] ="Incorrect PTAN/Provider number"),"Yes","No")</f>
        <v>No</v>
      </c>
      <c r="AD156" s="4" t="str">
        <f>IF(OR(tblEnrollment[[#This Row],[Blocker Reason]] ="Wrong Payer ID",tblEnrollment[[#This Row],[Blocker Reason]] ="Old Payer ID used"),"Yes","No")</f>
        <v>No</v>
      </c>
      <c r="AE156" s="4" t="str">
        <f>IF(OR(tblEnrollment[[#This Row],[Clearinghouse Portal Updated]]="No",tblEnrollment[[#This Row],[Blocker Reason]] ="Clearinghouse portal not updated"),"Yes","No")</f>
        <v>No</v>
      </c>
      <c r="AF15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5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Status]]="Completed",AB156="NPI Match"),"Ready","Not Ready"),"Not Applicable")</f>
        <v>Ready</v>
      </c>
      <c r="AH156" s="4" t="str">
        <f>IF(OR(tblEnrollment[[#This Row],[Enrollment Type]]="ERA",tblEnrollment[[#This Row],[Enrollment Type]]="Claims and ERA"),IF(AND(tblEnrollment[[#This Row],[Credentialing Status]]="Completed",tblEnrollment[[#This Row],[ERA Enrollment Status]]="Approved",tblEnrollment[[#This Row],[Clearinghouse Configuration Status]]="Completed",AB156="NPI Match"),"Ready","Not Ready"),"Not Applicable")</f>
        <v>Ready</v>
      </c>
      <c r="AI156" s="4" t="str">
        <f>IF(tblEnrollment[[#This Row],[Blocker Reason]] ="No Blocker","No","Yes")</f>
        <v>No</v>
      </c>
    </row>
    <row r="157" spans="1:35" ht="29">
      <c r="A157" s="35" t="s">
        <v>913</v>
      </c>
      <c r="B157" s="35" t="s">
        <v>66</v>
      </c>
      <c r="C157" s="35" t="s">
        <v>914</v>
      </c>
      <c r="D157" s="35" t="s">
        <v>915</v>
      </c>
      <c r="E157" s="35" t="s">
        <v>92</v>
      </c>
      <c r="F157" s="35" t="s">
        <v>92</v>
      </c>
      <c r="G157" s="35" t="s">
        <v>915</v>
      </c>
      <c r="H157" s="35" t="s">
        <v>410</v>
      </c>
      <c r="I157" s="35" t="s">
        <v>51</v>
      </c>
      <c r="J157" s="35" t="s">
        <v>52</v>
      </c>
      <c r="K157" s="35" t="s">
        <v>53</v>
      </c>
      <c r="L157" s="35" t="s">
        <v>54</v>
      </c>
      <c r="M157" s="35" t="s">
        <v>136</v>
      </c>
      <c r="N157" s="35" t="s">
        <v>46</v>
      </c>
      <c r="O157" s="35" t="s">
        <v>139</v>
      </c>
      <c r="P157" s="35" t="s">
        <v>138</v>
      </c>
      <c r="Q157" s="35" t="s">
        <v>48</v>
      </c>
      <c r="R157" s="35" t="s">
        <v>140</v>
      </c>
      <c r="S157" s="36">
        <v>46148</v>
      </c>
      <c r="T157" s="36"/>
      <c r="U157" s="35" t="s">
        <v>141</v>
      </c>
      <c r="V157" s="35" t="s">
        <v>412</v>
      </c>
      <c r="W157" s="35" t="s">
        <v>365</v>
      </c>
      <c r="X157" s="36">
        <v>46177</v>
      </c>
      <c r="Y157" s="35" t="s">
        <v>413</v>
      </c>
      <c r="Z157" s="4">
        <f>IF(tblEnrollment[[#This Row],[Approved Date]]="",DATE(2026,6,3)-tblEnrollment[[#This Row],[Submitted Date]],tblEnrollment[[#This Row],[Approved Date]]-tblEnrollment[[#This Row],[Submitted Date]])</f>
        <v>28</v>
      </c>
      <c r="AA157" s="4" t="str">
        <f>IF(tblEnrollment[[#This Row],[Current Status]] ="Ready","Completed",IF(Z157&gt;21,"SLA Breached","Within SLA"))</f>
        <v>SLA Breached</v>
      </c>
      <c r="AB157" s="4" t="str">
        <f>IF(tblEnrollment[[#This Row],[Credentialed NPI]] =tblEnrollment[[#This Row],[Enrolled NPI]],"NPI Match","NPI Mismatch")</f>
        <v>NPI Mismatch</v>
      </c>
      <c r="AC157" s="4" t="str">
        <f>IF(OR(tblEnrollment[[#This Row],[Blocker Reason]] ="Individual NPI used instead of Group NPI",tblEnrollment[[#This Row],[Blocker Reason]] ="Credentialed NPI mismatch",tblEnrollment[[#This Row],[Blocker Reason]] ="Incorrect PTAN/Provider number"),"Yes","No")</f>
        <v>Yes</v>
      </c>
      <c r="AD157" s="4" t="str">
        <f>IF(OR(tblEnrollment[[#This Row],[Blocker Reason]] ="Wrong Payer ID",tblEnrollment[[#This Row],[Blocker Reason]] ="Old Payer ID used"),"Yes","No")</f>
        <v>No</v>
      </c>
      <c r="AE157" s="4" t="str">
        <f>IF(OR(tblEnrollment[[#This Row],[Clearinghouse Portal Updated]]="No",tblEnrollment[[#This Row],[Blocker Reason]] ="Clearinghouse portal not updated"),"Yes","No")</f>
        <v>No</v>
      </c>
      <c r="AF15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5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Status]]="Completed",AB157="NPI Match"),"Ready","Not Ready"),"Not Applicable")</f>
        <v>Not Applicable</v>
      </c>
      <c r="AH157" s="4" t="str">
        <f>IF(OR(tblEnrollment[[#This Row],[Enrollment Type]]="ERA",tblEnrollment[[#This Row],[Enrollment Type]]="Claims and ERA"),IF(AND(tblEnrollment[[#This Row],[Credentialing Status]]="Completed",tblEnrollment[[#This Row],[ERA Enrollment Status]]="Approved",tblEnrollment[[#This Row],[Clearinghouse Configuration Status]]="Completed",AB157="NPI Match"),"Ready","Not Ready"),"Not Applicable")</f>
        <v>Not Ready</v>
      </c>
      <c r="AI157" s="4" t="str">
        <f>IF(tblEnrollment[[#This Row],[Blocker Reason]] ="No Blocker","No","Yes")</f>
        <v>Yes</v>
      </c>
    </row>
    <row r="158" spans="1:35" ht="29">
      <c r="A158" s="35" t="s">
        <v>916</v>
      </c>
      <c r="B158" s="35" t="s">
        <v>375</v>
      </c>
      <c r="C158" s="35" t="s">
        <v>917</v>
      </c>
      <c r="D158" s="35" t="s">
        <v>918</v>
      </c>
      <c r="E158" s="35" t="s">
        <v>83</v>
      </c>
      <c r="F158" s="35" t="s">
        <v>83</v>
      </c>
      <c r="G158" s="35" t="s">
        <v>918</v>
      </c>
      <c r="H158" s="35" t="s">
        <v>593</v>
      </c>
      <c r="I158" s="35" t="s">
        <v>130</v>
      </c>
      <c r="J158" s="35" t="s">
        <v>393</v>
      </c>
      <c r="K158" s="35" t="s">
        <v>53</v>
      </c>
      <c r="L158" s="35" t="s">
        <v>54</v>
      </c>
      <c r="M158" s="35" t="s">
        <v>55</v>
      </c>
      <c r="N158" s="35" t="s">
        <v>46</v>
      </c>
      <c r="O158" s="35" t="s">
        <v>138</v>
      </c>
      <c r="P158" s="35" t="s">
        <v>139</v>
      </c>
      <c r="Q158" s="35" t="s">
        <v>48</v>
      </c>
      <c r="R158" s="35" t="s">
        <v>140</v>
      </c>
      <c r="S158" s="36">
        <v>46097</v>
      </c>
      <c r="T158" s="36"/>
      <c r="U158" s="35" t="s">
        <v>141</v>
      </c>
      <c r="V158" s="35" t="s">
        <v>412</v>
      </c>
      <c r="W158" s="35" t="s">
        <v>330</v>
      </c>
      <c r="X158" s="36">
        <v>46182</v>
      </c>
      <c r="Y158" s="35" t="s">
        <v>413</v>
      </c>
      <c r="Z158" s="4">
        <f>IF(tblEnrollment[[#This Row],[Approved Date]]="",DATE(2026,6,3)-tblEnrollment[[#This Row],[Submitted Date]],tblEnrollment[[#This Row],[Approved Date]]-tblEnrollment[[#This Row],[Submitted Date]])</f>
        <v>79</v>
      </c>
      <c r="AA158" s="4" t="str">
        <f>IF(tblEnrollment[[#This Row],[Current Status]] ="Ready","Completed",IF(Z158&gt;21,"SLA Breached","Within SLA"))</f>
        <v>SLA Breached</v>
      </c>
      <c r="AB158" s="4" t="str">
        <f>IF(tblEnrollment[[#This Row],[Credentialed NPI]] =tblEnrollment[[#This Row],[Enrolled NPI]],"NPI Match","NPI Mismatch")</f>
        <v>NPI Mismatch</v>
      </c>
      <c r="AC158" s="4" t="str">
        <f>IF(OR(tblEnrollment[[#This Row],[Blocker Reason]] ="Individual NPI used instead of Group NPI",tblEnrollment[[#This Row],[Blocker Reason]] ="Credentialed NPI mismatch",tblEnrollment[[#This Row],[Blocker Reason]] ="Incorrect PTAN/Provider number"),"Yes","No")</f>
        <v>Yes</v>
      </c>
      <c r="AD158" s="4" t="str">
        <f>IF(OR(tblEnrollment[[#This Row],[Blocker Reason]] ="Wrong Payer ID",tblEnrollment[[#This Row],[Blocker Reason]] ="Old Payer ID used"),"Yes","No")</f>
        <v>No</v>
      </c>
      <c r="AE158" s="4" t="str">
        <f>IF(OR(tblEnrollment[[#This Row],[Clearinghouse Portal Updated]]="No",tblEnrollment[[#This Row],[Blocker Reason]] ="Clearinghouse portal not updated"),"Yes","No")</f>
        <v>No</v>
      </c>
      <c r="AF15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5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Status]]="Completed",AB158="NPI Match"),"Ready","Not Ready"),"Not Applicable")</f>
        <v>Not Ready</v>
      </c>
      <c r="AH158" s="4" t="str">
        <f>IF(OR(tblEnrollment[[#This Row],[Enrollment Type]]="ERA",tblEnrollment[[#This Row],[Enrollment Type]]="Claims and ERA"),IF(AND(tblEnrollment[[#This Row],[Credentialing Status]]="Completed",tblEnrollment[[#This Row],[ERA Enrollment Status]]="Approved",tblEnrollment[[#This Row],[Clearinghouse Configuration Status]]="Completed",AB158="NPI Match"),"Ready","Not Ready"),"Not Applicable")</f>
        <v>Not Applicable</v>
      </c>
      <c r="AI158" s="4" t="str">
        <f>IF(tblEnrollment[[#This Row],[Blocker Reason]] ="No Blocker","No","Yes")</f>
        <v>Yes</v>
      </c>
    </row>
    <row r="159" spans="1:35" ht="29">
      <c r="A159" s="35" t="s">
        <v>919</v>
      </c>
      <c r="B159" s="35" t="s">
        <v>64</v>
      </c>
      <c r="C159" s="35" t="s">
        <v>920</v>
      </c>
      <c r="D159" s="35" t="s">
        <v>921</v>
      </c>
      <c r="E159" s="35" t="s">
        <v>88</v>
      </c>
      <c r="F159" s="35" t="s">
        <v>88</v>
      </c>
      <c r="G159" s="35" t="s">
        <v>88</v>
      </c>
      <c r="H159" s="35" t="s">
        <v>465</v>
      </c>
      <c r="I159" s="35" t="s">
        <v>132</v>
      </c>
      <c r="J159" s="35" t="s">
        <v>401</v>
      </c>
      <c r="K159" s="35" t="s">
        <v>53</v>
      </c>
      <c r="L159" s="35" t="s">
        <v>54</v>
      </c>
      <c r="M159" s="35" t="s">
        <v>45</v>
      </c>
      <c r="N159" s="35" t="s">
        <v>46</v>
      </c>
      <c r="O159" s="35" t="s">
        <v>47</v>
      </c>
      <c r="P159" s="35" t="s">
        <v>56</v>
      </c>
      <c r="Q159" s="35" t="s">
        <v>58</v>
      </c>
      <c r="R159" s="35" t="s">
        <v>56</v>
      </c>
      <c r="S159" s="36">
        <v>46074</v>
      </c>
      <c r="T159" s="36"/>
      <c r="U159" s="35" t="s">
        <v>56</v>
      </c>
      <c r="V159" s="35" t="s">
        <v>143</v>
      </c>
      <c r="W159" s="35" t="s">
        <v>330</v>
      </c>
      <c r="X159" s="36">
        <v>46178</v>
      </c>
      <c r="Y159" s="35" t="s">
        <v>343</v>
      </c>
      <c r="Z159" s="4">
        <f>IF(tblEnrollment[[#This Row],[Approved Date]]="",DATE(2026,6,3)-tblEnrollment[[#This Row],[Submitted Date]],tblEnrollment[[#This Row],[Approved Date]]-tblEnrollment[[#This Row],[Submitted Date]])</f>
        <v>102</v>
      </c>
      <c r="AA159" s="4" t="str">
        <f>IF(tblEnrollment[[#This Row],[Current Status]] ="Ready","Completed",IF(Z159&gt;21,"SLA Breached","Within SLA"))</f>
        <v>SLA Breached</v>
      </c>
      <c r="AB159" s="4" t="str">
        <f>IF(tblEnrollment[[#This Row],[Credentialed NPI]] =tblEnrollment[[#This Row],[Enrolled NPI]],"NPI Match","NPI Mismatch")</f>
        <v>NPI Match</v>
      </c>
      <c r="AC159" s="4" t="str">
        <f>IF(OR(tblEnrollment[[#This Row],[Blocker Reason]] ="Individual NPI used instead of Group NPI",tblEnrollment[[#This Row],[Blocker Reason]] ="Credentialed NPI mismatch",tblEnrollment[[#This Row],[Blocker Reason]] ="Incorrect PTAN/Provider number"),"Yes","No")</f>
        <v>No</v>
      </c>
      <c r="AD159" s="4" t="str">
        <f>IF(OR(tblEnrollment[[#This Row],[Blocker Reason]] ="Wrong Payer ID",tblEnrollment[[#This Row],[Blocker Reason]] ="Old Payer ID used"),"Yes","No")</f>
        <v>No</v>
      </c>
      <c r="AE159" s="4" t="str">
        <f>IF(OR(tblEnrollment[[#This Row],[Clearinghouse Portal Updated]]="No",tblEnrollment[[#This Row],[Blocker Reason]] ="Clearinghouse portal not updated"),"Yes","No")</f>
        <v>Yes</v>
      </c>
      <c r="AF15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5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Status]]="Completed",AB159="NPI Match"),"Ready","Not Ready"),"Not Applicable")</f>
        <v>Not Ready</v>
      </c>
      <c r="AH159" s="4" t="str">
        <f>IF(OR(tblEnrollment[[#This Row],[Enrollment Type]]="ERA",tblEnrollment[[#This Row],[Enrollment Type]]="Claims and ERA"),IF(AND(tblEnrollment[[#This Row],[Credentialing Status]]="Completed",tblEnrollment[[#This Row],[ERA Enrollment Status]]="Approved",tblEnrollment[[#This Row],[Clearinghouse Configuration Status]]="Completed",AB159="NPI Match"),"Ready","Not Ready"),"Not Applicable")</f>
        <v>Not Ready</v>
      </c>
      <c r="AI159" s="4" t="str">
        <f>IF(tblEnrollment[[#This Row],[Blocker Reason]] ="No Blocker","No","Yes")</f>
        <v>Yes</v>
      </c>
    </row>
    <row r="160" spans="1:35" ht="29">
      <c r="A160" s="35" t="s">
        <v>922</v>
      </c>
      <c r="B160" s="35" t="s">
        <v>471</v>
      </c>
      <c r="C160" s="35" t="s">
        <v>923</v>
      </c>
      <c r="D160" s="35" t="s">
        <v>924</v>
      </c>
      <c r="E160" s="35" t="s">
        <v>90</v>
      </c>
      <c r="F160" s="35" t="s">
        <v>90</v>
      </c>
      <c r="G160" s="35" t="s">
        <v>924</v>
      </c>
      <c r="H160" s="35" t="s">
        <v>583</v>
      </c>
      <c r="I160" s="35" t="s">
        <v>132</v>
      </c>
      <c r="J160" s="35" t="s">
        <v>401</v>
      </c>
      <c r="K160" s="35" t="s">
        <v>53</v>
      </c>
      <c r="L160" s="35" t="s">
        <v>54</v>
      </c>
      <c r="M160" s="35" t="s">
        <v>45</v>
      </c>
      <c r="N160" s="35" t="s">
        <v>46</v>
      </c>
      <c r="O160" s="35" t="s">
        <v>138</v>
      </c>
      <c r="P160" s="35" t="s">
        <v>138</v>
      </c>
      <c r="Q160" s="35" t="s">
        <v>48</v>
      </c>
      <c r="R160" s="35" t="s">
        <v>140</v>
      </c>
      <c r="S160" s="36">
        <v>46038</v>
      </c>
      <c r="T160" s="36"/>
      <c r="U160" s="35" t="s">
        <v>141</v>
      </c>
      <c r="V160" s="35" t="s">
        <v>412</v>
      </c>
      <c r="W160" s="35" t="s">
        <v>330</v>
      </c>
      <c r="X160" s="36">
        <v>46177</v>
      </c>
      <c r="Y160" s="35" t="s">
        <v>413</v>
      </c>
      <c r="Z160" s="4">
        <f>IF(tblEnrollment[[#This Row],[Approved Date]]="",DATE(2026,6,3)-tblEnrollment[[#This Row],[Submitted Date]],tblEnrollment[[#This Row],[Approved Date]]-tblEnrollment[[#This Row],[Submitted Date]])</f>
        <v>138</v>
      </c>
      <c r="AA160" s="4" t="str">
        <f>IF(tblEnrollment[[#This Row],[Current Status]] ="Ready","Completed",IF(Z160&gt;21,"SLA Breached","Within SLA"))</f>
        <v>SLA Breached</v>
      </c>
      <c r="AB160" s="4" t="str">
        <f>IF(tblEnrollment[[#This Row],[Credentialed NPI]] =tblEnrollment[[#This Row],[Enrolled NPI]],"NPI Match","NPI Mismatch")</f>
        <v>NPI Mismatch</v>
      </c>
      <c r="AC160" s="4" t="str">
        <f>IF(OR(tblEnrollment[[#This Row],[Blocker Reason]] ="Individual NPI used instead of Group NPI",tblEnrollment[[#This Row],[Blocker Reason]] ="Credentialed NPI mismatch",tblEnrollment[[#This Row],[Blocker Reason]] ="Incorrect PTAN/Provider number"),"Yes","No")</f>
        <v>Yes</v>
      </c>
      <c r="AD160" s="4" t="str">
        <f>IF(OR(tblEnrollment[[#This Row],[Blocker Reason]] ="Wrong Payer ID",tblEnrollment[[#This Row],[Blocker Reason]] ="Old Payer ID used"),"Yes","No")</f>
        <v>No</v>
      </c>
      <c r="AE160" s="4" t="str">
        <f>IF(OR(tblEnrollment[[#This Row],[Clearinghouse Portal Updated]]="No",tblEnrollment[[#This Row],[Blocker Reason]] ="Clearinghouse portal not updated"),"Yes","No")</f>
        <v>No</v>
      </c>
      <c r="AF16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6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Status]]="Completed",AB160="NPI Match"),"Ready","Not Ready"),"Not Applicable")</f>
        <v>Not Ready</v>
      </c>
      <c r="AH160" s="4" t="str">
        <f>IF(OR(tblEnrollment[[#This Row],[Enrollment Type]]="ERA",tblEnrollment[[#This Row],[Enrollment Type]]="Claims and ERA"),IF(AND(tblEnrollment[[#This Row],[Credentialing Status]]="Completed",tblEnrollment[[#This Row],[ERA Enrollment Status]]="Approved",tblEnrollment[[#This Row],[Clearinghouse Configuration Status]]="Completed",AB160="NPI Match"),"Ready","Not Ready"),"Not Applicable")</f>
        <v>Not Ready</v>
      </c>
      <c r="AI160" s="4" t="str">
        <f>IF(tblEnrollment[[#This Row],[Blocker Reason]] ="No Blocker","No","Yes")</f>
        <v>Yes</v>
      </c>
    </row>
    <row r="161" spans="1:35" ht="29">
      <c r="A161" s="35" t="s">
        <v>925</v>
      </c>
      <c r="B161" s="35" t="s">
        <v>63</v>
      </c>
      <c r="C161" s="35" t="s">
        <v>926</v>
      </c>
      <c r="D161" s="35" t="s">
        <v>927</v>
      </c>
      <c r="E161" s="35" t="s">
        <v>334</v>
      </c>
      <c r="F161" s="35" t="s">
        <v>334</v>
      </c>
      <c r="G161" s="35" t="s">
        <v>334</v>
      </c>
      <c r="H161" s="35" t="s">
        <v>457</v>
      </c>
      <c r="I161" s="35" t="s">
        <v>346</v>
      </c>
      <c r="J161" s="35" t="s">
        <v>594</v>
      </c>
      <c r="K161" s="35" t="s">
        <v>53</v>
      </c>
      <c r="L161" s="35" t="s">
        <v>54</v>
      </c>
      <c r="M161" s="35" t="s">
        <v>136</v>
      </c>
      <c r="N161" s="35" t="s">
        <v>46</v>
      </c>
      <c r="O161" s="35" t="s">
        <v>139</v>
      </c>
      <c r="P161" s="35" t="s">
        <v>138</v>
      </c>
      <c r="Q161" s="35" t="s">
        <v>48</v>
      </c>
      <c r="R161" s="35" t="s">
        <v>140</v>
      </c>
      <c r="S161" s="36">
        <v>46114</v>
      </c>
      <c r="T161" s="36"/>
      <c r="U161" s="35" t="s">
        <v>141</v>
      </c>
      <c r="V161" s="35" t="s">
        <v>329</v>
      </c>
      <c r="W161" s="35" t="s">
        <v>330</v>
      </c>
      <c r="X161" s="36">
        <v>46177</v>
      </c>
      <c r="Y161" s="35" t="s">
        <v>331</v>
      </c>
      <c r="Z161" s="4">
        <f>IF(tblEnrollment[[#This Row],[Approved Date]]="",DATE(2026,6,3)-tblEnrollment[[#This Row],[Submitted Date]],tblEnrollment[[#This Row],[Approved Date]]-tblEnrollment[[#This Row],[Submitted Date]])</f>
        <v>62</v>
      </c>
      <c r="AA161" s="4" t="str">
        <f>IF(tblEnrollment[[#This Row],[Current Status]] ="Ready","Completed",IF(Z161&gt;21,"SLA Breached","Within SLA"))</f>
        <v>SLA Breached</v>
      </c>
      <c r="AB161" s="4" t="str">
        <f>IF(tblEnrollment[[#This Row],[Credentialed NPI]] =tblEnrollment[[#This Row],[Enrolled NPI]],"NPI Match","NPI Mismatch")</f>
        <v>NPI Match</v>
      </c>
      <c r="AC161" s="4" t="str">
        <f>IF(OR(tblEnrollment[[#This Row],[Blocker Reason]] ="Individual NPI used instead of Group NPI",tblEnrollment[[#This Row],[Blocker Reason]] ="Credentialed NPI mismatch",tblEnrollment[[#This Row],[Blocker Reason]] ="Incorrect PTAN/Provider number"),"Yes","No")</f>
        <v>No</v>
      </c>
      <c r="AD161" s="4" t="str">
        <f>IF(OR(tblEnrollment[[#This Row],[Blocker Reason]] ="Wrong Payer ID",tblEnrollment[[#This Row],[Blocker Reason]] ="Old Payer ID used"),"Yes","No")</f>
        <v>Yes</v>
      </c>
      <c r="AE161" s="4" t="str">
        <f>IF(OR(tblEnrollment[[#This Row],[Clearinghouse Portal Updated]]="No",tblEnrollment[[#This Row],[Blocker Reason]] ="Clearinghouse portal not updated"),"Yes","No")</f>
        <v>No</v>
      </c>
      <c r="AF16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6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Status]]="Completed",AB161="NPI Match"),"Ready","Not Ready"),"Not Applicable")</f>
        <v>Not Applicable</v>
      </c>
      <c r="AH161" s="4" t="str">
        <f>IF(OR(tblEnrollment[[#This Row],[Enrollment Type]]="ERA",tblEnrollment[[#This Row],[Enrollment Type]]="Claims and ERA"),IF(AND(tblEnrollment[[#This Row],[Credentialing Status]]="Completed",tblEnrollment[[#This Row],[ERA Enrollment Status]]="Approved",tblEnrollment[[#This Row],[Clearinghouse Configuration Status]]="Completed",AB161="NPI Match"),"Ready","Not Ready"),"Not Applicable")</f>
        <v>Not Ready</v>
      </c>
      <c r="AI161" s="4" t="str">
        <f>IF(tblEnrollment[[#This Row],[Blocker Reason]] ="No Blocker","No","Yes")</f>
        <v>Yes</v>
      </c>
    </row>
    <row r="162" spans="1:35" ht="29">
      <c r="A162" s="35" t="s">
        <v>928</v>
      </c>
      <c r="B162" s="35" t="s">
        <v>513</v>
      </c>
      <c r="C162" s="35" t="s">
        <v>929</v>
      </c>
      <c r="D162" s="35" t="s">
        <v>930</v>
      </c>
      <c r="E162" s="35" t="s">
        <v>86</v>
      </c>
      <c r="F162" s="35" t="s">
        <v>86</v>
      </c>
      <c r="G162" s="35" t="s">
        <v>931</v>
      </c>
      <c r="H162" s="35" t="s">
        <v>457</v>
      </c>
      <c r="I162" s="35" t="s">
        <v>43</v>
      </c>
      <c r="J162" s="35" t="s">
        <v>357</v>
      </c>
      <c r="K162" s="35" t="s">
        <v>44</v>
      </c>
      <c r="L162" s="35" t="s">
        <v>932</v>
      </c>
      <c r="M162" s="35" t="s">
        <v>45</v>
      </c>
      <c r="N162" s="35" t="s">
        <v>46</v>
      </c>
      <c r="O162" s="35" t="s">
        <v>138</v>
      </c>
      <c r="P162" s="35" t="s">
        <v>138</v>
      </c>
      <c r="Q162" s="35" t="s">
        <v>48</v>
      </c>
      <c r="R162" s="35" t="s">
        <v>140</v>
      </c>
      <c r="S162" s="36">
        <v>46041</v>
      </c>
      <c r="T162" s="36"/>
      <c r="U162" s="35" t="s">
        <v>141</v>
      </c>
      <c r="V162" s="35" t="s">
        <v>144</v>
      </c>
      <c r="W162" s="35" t="s">
        <v>338</v>
      </c>
      <c r="X162" s="36">
        <v>46186</v>
      </c>
      <c r="Y162" s="35" t="s">
        <v>389</v>
      </c>
      <c r="Z162" s="4">
        <f>IF(tblEnrollment[[#This Row],[Approved Date]]="",DATE(2026,6,3)-tblEnrollment[[#This Row],[Submitted Date]],tblEnrollment[[#This Row],[Approved Date]]-tblEnrollment[[#This Row],[Submitted Date]])</f>
        <v>135</v>
      </c>
      <c r="AA162" s="4" t="str">
        <f>IF(tblEnrollment[[#This Row],[Current Status]] ="Ready","Completed",IF(Z162&gt;21,"SLA Breached","Within SLA"))</f>
        <v>SLA Breached</v>
      </c>
      <c r="AB162" s="4" t="str">
        <f>IF(tblEnrollment[[#This Row],[Credentialed NPI]] =tblEnrollment[[#This Row],[Enrolled NPI]],"NPI Match","NPI Mismatch")</f>
        <v>NPI Mismatch</v>
      </c>
      <c r="AC162" s="4" t="str">
        <f>IF(OR(tblEnrollment[[#This Row],[Blocker Reason]] ="Individual NPI used instead of Group NPI",tblEnrollment[[#This Row],[Blocker Reason]] ="Credentialed NPI mismatch",tblEnrollment[[#This Row],[Blocker Reason]] ="Incorrect PTAN/Provider number"),"Yes","No")</f>
        <v>Yes</v>
      </c>
      <c r="AD162" s="4" t="str">
        <f>IF(OR(tblEnrollment[[#This Row],[Blocker Reason]] ="Wrong Payer ID",tblEnrollment[[#This Row],[Blocker Reason]] ="Old Payer ID used"),"Yes","No")</f>
        <v>No</v>
      </c>
      <c r="AE162" s="4" t="str">
        <f>IF(OR(tblEnrollment[[#This Row],[Clearinghouse Portal Updated]]="No",tblEnrollment[[#This Row],[Blocker Reason]] ="Clearinghouse portal not updated"),"Yes","No")</f>
        <v>No</v>
      </c>
      <c r="AF16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6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Status]]="Completed",AB162="NPI Match"),"Ready","Not Ready"),"Not Applicable")</f>
        <v>Not Ready</v>
      </c>
      <c r="AH162" s="4" t="str">
        <f>IF(OR(tblEnrollment[[#This Row],[Enrollment Type]]="ERA",tblEnrollment[[#This Row],[Enrollment Type]]="Claims and ERA"),IF(AND(tblEnrollment[[#This Row],[Credentialing Status]]="Completed",tblEnrollment[[#This Row],[ERA Enrollment Status]]="Approved",tblEnrollment[[#This Row],[Clearinghouse Configuration Status]]="Completed",AB162="NPI Match"),"Ready","Not Ready"),"Not Applicable")</f>
        <v>Not Ready</v>
      </c>
      <c r="AI162" s="4" t="str">
        <f>IF(tblEnrollment[[#This Row],[Blocker Reason]] ="No Blocker","No","Yes")</f>
        <v>Yes</v>
      </c>
    </row>
    <row r="163" spans="1:35" ht="29">
      <c r="A163" s="35" t="s">
        <v>933</v>
      </c>
      <c r="B163" s="35" t="s">
        <v>78</v>
      </c>
      <c r="C163" s="35" t="s">
        <v>81</v>
      </c>
      <c r="D163" s="35" t="s">
        <v>934</v>
      </c>
      <c r="E163" s="35" t="s">
        <v>735</v>
      </c>
      <c r="F163" s="35" t="s">
        <v>735</v>
      </c>
      <c r="G163" s="35" t="s">
        <v>735</v>
      </c>
      <c r="H163" s="35" t="s">
        <v>356</v>
      </c>
      <c r="I163" s="35" t="s">
        <v>43</v>
      </c>
      <c r="J163" s="35" t="s">
        <v>357</v>
      </c>
      <c r="K163" s="35" t="s">
        <v>44</v>
      </c>
      <c r="L163" s="35" t="s">
        <v>935</v>
      </c>
      <c r="M163" s="35" t="s">
        <v>45</v>
      </c>
      <c r="N163" s="35" t="s">
        <v>46</v>
      </c>
      <c r="O163" s="35" t="s">
        <v>47</v>
      </c>
      <c r="P163" s="35" t="s">
        <v>47</v>
      </c>
      <c r="Q163" s="35" t="s">
        <v>48</v>
      </c>
      <c r="R163" s="35" t="s">
        <v>46</v>
      </c>
      <c r="S163" s="36">
        <v>46143</v>
      </c>
      <c r="T163" s="36">
        <v>46152</v>
      </c>
      <c r="U163" s="35" t="s">
        <v>49</v>
      </c>
      <c r="V163" s="35" t="s">
        <v>348</v>
      </c>
      <c r="W163" s="35" t="s">
        <v>330</v>
      </c>
      <c r="X163" s="36">
        <v>46186</v>
      </c>
      <c r="Y163" s="35" t="s">
        <v>350</v>
      </c>
      <c r="Z163" s="4">
        <f>IF(tblEnrollment[[#This Row],[Approved Date]]="",DATE(2026,6,3)-tblEnrollment[[#This Row],[Submitted Date]],tblEnrollment[[#This Row],[Approved Date]]-tblEnrollment[[#This Row],[Submitted Date]])</f>
        <v>9</v>
      </c>
      <c r="AA163" s="4" t="str">
        <f>IF(tblEnrollment[[#This Row],[Current Status]] ="Ready","Completed",IF(Z163&gt;21,"SLA Breached","Within SLA"))</f>
        <v>Completed</v>
      </c>
      <c r="AB163" s="4" t="str">
        <f>IF(tblEnrollment[[#This Row],[Credentialed NPI]] =tblEnrollment[[#This Row],[Enrolled NPI]],"NPI Match","NPI Mismatch")</f>
        <v>NPI Match</v>
      </c>
      <c r="AC163" s="4" t="str">
        <f>IF(OR(tblEnrollment[[#This Row],[Blocker Reason]] ="Individual NPI used instead of Group NPI",tblEnrollment[[#This Row],[Blocker Reason]] ="Credentialed NPI mismatch",tblEnrollment[[#This Row],[Blocker Reason]] ="Incorrect PTAN/Provider number"),"Yes","No")</f>
        <v>No</v>
      </c>
      <c r="AD163" s="4" t="str">
        <f>IF(OR(tblEnrollment[[#This Row],[Blocker Reason]] ="Wrong Payer ID",tblEnrollment[[#This Row],[Blocker Reason]] ="Old Payer ID used"),"Yes","No")</f>
        <v>No</v>
      </c>
      <c r="AE163" s="4" t="str">
        <f>IF(OR(tblEnrollment[[#This Row],[Clearinghouse Portal Updated]]="No",tblEnrollment[[#This Row],[Blocker Reason]] ="Clearinghouse portal not updated"),"Yes","No")</f>
        <v>No</v>
      </c>
      <c r="AF16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6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Status]]="Completed",AB163="NPI Match"),"Ready","Not Ready"),"Not Applicable")</f>
        <v>Ready</v>
      </c>
      <c r="AH163" s="4" t="str">
        <f>IF(OR(tblEnrollment[[#This Row],[Enrollment Type]]="ERA",tblEnrollment[[#This Row],[Enrollment Type]]="Claims and ERA"),IF(AND(tblEnrollment[[#This Row],[Credentialing Status]]="Completed",tblEnrollment[[#This Row],[ERA Enrollment Status]]="Approved",tblEnrollment[[#This Row],[Clearinghouse Configuration Status]]="Completed",AB163="NPI Match"),"Ready","Not Ready"),"Not Applicable")</f>
        <v>Ready</v>
      </c>
      <c r="AI163" s="4" t="str">
        <f>IF(tblEnrollment[[#This Row],[Blocker Reason]] ="No Blocker","No","Yes")</f>
        <v>No</v>
      </c>
    </row>
    <row r="164" spans="1:35" ht="29">
      <c r="A164" s="35" t="s">
        <v>936</v>
      </c>
      <c r="B164" s="35" t="s">
        <v>60</v>
      </c>
      <c r="C164" s="35" t="s">
        <v>937</v>
      </c>
      <c r="D164" s="35" t="s">
        <v>938</v>
      </c>
      <c r="E164" s="35" t="s">
        <v>464</v>
      </c>
      <c r="F164" s="35" t="s">
        <v>464</v>
      </c>
      <c r="G164" s="35" t="s">
        <v>939</v>
      </c>
      <c r="H164" s="35" t="s">
        <v>593</v>
      </c>
      <c r="I164" s="35" t="s">
        <v>132</v>
      </c>
      <c r="J164" s="35" t="s">
        <v>401</v>
      </c>
      <c r="K164" s="35" t="s">
        <v>53</v>
      </c>
      <c r="L164" s="35" t="s">
        <v>54</v>
      </c>
      <c r="M164" s="35" t="s">
        <v>45</v>
      </c>
      <c r="N164" s="35" t="s">
        <v>46</v>
      </c>
      <c r="O164" s="35" t="s">
        <v>138</v>
      </c>
      <c r="P164" s="35" t="s">
        <v>138</v>
      </c>
      <c r="Q164" s="35" t="s">
        <v>48</v>
      </c>
      <c r="R164" s="35" t="s">
        <v>140</v>
      </c>
      <c r="S164" s="36">
        <v>46157</v>
      </c>
      <c r="T164" s="36"/>
      <c r="U164" s="35" t="s">
        <v>141</v>
      </c>
      <c r="V164" s="35" t="s">
        <v>144</v>
      </c>
      <c r="W164" s="35" t="s">
        <v>349</v>
      </c>
      <c r="X164" s="36">
        <v>46176</v>
      </c>
      <c r="Y164" s="35" t="s">
        <v>389</v>
      </c>
      <c r="Z164" s="4">
        <f>IF(tblEnrollment[[#This Row],[Approved Date]]="",DATE(2026,6,3)-tblEnrollment[[#This Row],[Submitted Date]],tblEnrollment[[#This Row],[Approved Date]]-tblEnrollment[[#This Row],[Submitted Date]])</f>
        <v>19</v>
      </c>
      <c r="AA164" s="4" t="str">
        <f>IF(tblEnrollment[[#This Row],[Current Status]] ="Ready","Completed",IF(Z164&gt;21,"SLA Breached","Within SLA"))</f>
        <v>Within SLA</v>
      </c>
      <c r="AB164" s="4" t="str">
        <f>IF(tblEnrollment[[#This Row],[Credentialed NPI]] =tblEnrollment[[#This Row],[Enrolled NPI]],"NPI Match","NPI Mismatch")</f>
        <v>NPI Mismatch</v>
      </c>
      <c r="AC164" s="4" t="str">
        <f>IF(OR(tblEnrollment[[#This Row],[Blocker Reason]] ="Individual NPI used instead of Group NPI",tblEnrollment[[#This Row],[Blocker Reason]] ="Credentialed NPI mismatch",tblEnrollment[[#This Row],[Blocker Reason]] ="Incorrect PTAN/Provider number"),"Yes","No")</f>
        <v>Yes</v>
      </c>
      <c r="AD164" s="4" t="str">
        <f>IF(OR(tblEnrollment[[#This Row],[Blocker Reason]] ="Wrong Payer ID",tblEnrollment[[#This Row],[Blocker Reason]] ="Old Payer ID used"),"Yes","No")</f>
        <v>No</v>
      </c>
      <c r="AE164" s="4" t="str">
        <f>IF(OR(tblEnrollment[[#This Row],[Clearinghouse Portal Updated]]="No",tblEnrollment[[#This Row],[Blocker Reason]] ="Clearinghouse portal not updated"),"Yes","No")</f>
        <v>No</v>
      </c>
      <c r="AF16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6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Status]]="Completed",AB164="NPI Match"),"Ready","Not Ready"),"Not Applicable")</f>
        <v>Not Ready</v>
      </c>
      <c r="AH164" s="4" t="str">
        <f>IF(OR(tblEnrollment[[#This Row],[Enrollment Type]]="ERA",tblEnrollment[[#This Row],[Enrollment Type]]="Claims and ERA"),IF(AND(tblEnrollment[[#This Row],[Credentialing Status]]="Completed",tblEnrollment[[#This Row],[ERA Enrollment Status]]="Approved",tblEnrollment[[#This Row],[Clearinghouse Configuration Status]]="Completed",AB164="NPI Match"),"Ready","Not Ready"),"Not Applicable")</f>
        <v>Not Ready</v>
      </c>
      <c r="AI164" s="4" t="str">
        <f>IF(tblEnrollment[[#This Row],[Blocker Reason]] ="No Blocker","No","Yes")</f>
        <v>Yes</v>
      </c>
    </row>
    <row r="165" spans="1:35" ht="29">
      <c r="A165" s="35" t="s">
        <v>940</v>
      </c>
      <c r="B165" s="35" t="s">
        <v>65</v>
      </c>
      <c r="C165" s="35" t="s">
        <v>941</v>
      </c>
      <c r="D165" s="35" t="s">
        <v>942</v>
      </c>
      <c r="E165" s="35" t="s">
        <v>86</v>
      </c>
      <c r="F165" s="35" t="s">
        <v>86</v>
      </c>
      <c r="G165" s="35" t="s">
        <v>86</v>
      </c>
      <c r="H165" s="35" t="s">
        <v>122</v>
      </c>
      <c r="I165" s="35" t="s">
        <v>51</v>
      </c>
      <c r="J165" s="35" t="s">
        <v>52</v>
      </c>
      <c r="K165" s="35" t="s">
        <v>53</v>
      </c>
      <c r="L165" s="35" t="s">
        <v>54</v>
      </c>
      <c r="M165" s="35" t="s">
        <v>55</v>
      </c>
      <c r="N165" s="35" t="s">
        <v>137</v>
      </c>
      <c r="O165" s="35" t="s">
        <v>57</v>
      </c>
      <c r="P165" s="35" t="s">
        <v>139</v>
      </c>
      <c r="Q165" s="35" t="s">
        <v>58</v>
      </c>
      <c r="R165" s="35" t="s">
        <v>57</v>
      </c>
      <c r="S165" s="36">
        <v>46063</v>
      </c>
      <c r="T165" s="36"/>
      <c r="U165" s="35" t="s">
        <v>56</v>
      </c>
      <c r="V165" s="35" t="s">
        <v>147</v>
      </c>
      <c r="W165" s="35" t="s">
        <v>441</v>
      </c>
      <c r="X165" s="36">
        <v>46185</v>
      </c>
      <c r="Y165" s="35" t="s">
        <v>406</v>
      </c>
      <c r="Z165" s="4">
        <f>IF(tblEnrollment[[#This Row],[Approved Date]]="",DATE(2026,6,3)-tblEnrollment[[#This Row],[Submitted Date]],tblEnrollment[[#This Row],[Approved Date]]-tblEnrollment[[#This Row],[Submitted Date]])</f>
        <v>113</v>
      </c>
      <c r="AA165" s="4" t="str">
        <f>IF(tblEnrollment[[#This Row],[Current Status]] ="Ready","Completed",IF(Z165&gt;21,"SLA Breached","Within SLA"))</f>
        <v>SLA Breached</v>
      </c>
      <c r="AB165" s="4" t="str">
        <f>IF(tblEnrollment[[#This Row],[Credentialed NPI]] =tblEnrollment[[#This Row],[Enrolled NPI]],"NPI Match","NPI Mismatch")</f>
        <v>NPI Match</v>
      </c>
      <c r="AC165" s="4" t="str">
        <f>IF(OR(tblEnrollment[[#This Row],[Blocker Reason]] ="Individual NPI used instead of Group NPI",tblEnrollment[[#This Row],[Blocker Reason]] ="Credentialed NPI mismatch",tblEnrollment[[#This Row],[Blocker Reason]] ="Incorrect PTAN/Provider number"),"Yes","No")</f>
        <v>No</v>
      </c>
      <c r="AD165" s="4" t="str">
        <f>IF(OR(tblEnrollment[[#This Row],[Blocker Reason]] ="Wrong Payer ID",tblEnrollment[[#This Row],[Blocker Reason]] ="Old Payer ID used"),"Yes","No")</f>
        <v>No</v>
      </c>
      <c r="AE165" s="4" t="str">
        <f>IF(OR(tblEnrollment[[#This Row],[Clearinghouse Portal Updated]]="No",tblEnrollment[[#This Row],[Blocker Reason]] ="Clearinghouse portal not updated"),"Yes","No")</f>
        <v>Yes</v>
      </c>
      <c r="AF16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6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Status]]="Completed",AB165="NPI Match"),"Ready","Not Ready"),"Not Applicable")</f>
        <v>Not Ready</v>
      </c>
      <c r="AH165" s="4" t="str">
        <f>IF(OR(tblEnrollment[[#This Row],[Enrollment Type]]="ERA",tblEnrollment[[#This Row],[Enrollment Type]]="Claims and ERA"),IF(AND(tblEnrollment[[#This Row],[Credentialing Status]]="Completed",tblEnrollment[[#This Row],[ERA Enrollment Status]]="Approved",tblEnrollment[[#This Row],[Clearinghouse Configuration Status]]="Completed",AB165="NPI Match"),"Ready","Not Ready"),"Not Applicable")</f>
        <v>Not Applicable</v>
      </c>
      <c r="AI165" s="4" t="str">
        <f>IF(tblEnrollment[[#This Row],[Blocker Reason]] ="No Blocker","No","Yes")</f>
        <v>Yes</v>
      </c>
    </row>
    <row r="166" spans="1:35" ht="29">
      <c r="A166" s="35" t="s">
        <v>943</v>
      </c>
      <c r="B166" s="35" t="s">
        <v>59</v>
      </c>
      <c r="C166" s="35" t="s">
        <v>944</v>
      </c>
      <c r="D166" s="35" t="s">
        <v>945</v>
      </c>
      <c r="E166" s="35" t="s">
        <v>103</v>
      </c>
      <c r="F166" s="35" t="s">
        <v>103</v>
      </c>
      <c r="G166" s="35" t="s">
        <v>103</v>
      </c>
      <c r="H166" s="35" t="s">
        <v>122</v>
      </c>
      <c r="I166" s="35" t="s">
        <v>132</v>
      </c>
      <c r="J166" s="35" t="s">
        <v>946</v>
      </c>
      <c r="K166" s="35" t="s">
        <v>53</v>
      </c>
      <c r="L166" s="35" t="s">
        <v>54</v>
      </c>
      <c r="M166" s="35" t="s">
        <v>45</v>
      </c>
      <c r="N166" s="35" t="s">
        <v>46</v>
      </c>
      <c r="O166" s="35" t="s">
        <v>138</v>
      </c>
      <c r="P166" s="35" t="s">
        <v>138</v>
      </c>
      <c r="Q166" s="35" t="s">
        <v>48</v>
      </c>
      <c r="R166" s="35" t="s">
        <v>140</v>
      </c>
      <c r="S166" s="36">
        <v>46159</v>
      </c>
      <c r="T166" s="36"/>
      <c r="U166" s="35" t="s">
        <v>141</v>
      </c>
      <c r="V166" s="35" t="s">
        <v>435</v>
      </c>
      <c r="W166" s="35" t="s">
        <v>365</v>
      </c>
      <c r="X166" s="36">
        <v>46186</v>
      </c>
      <c r="Y166" s="35" t="s">
        <v>436</v>
      </c>
      <c r="Z166" s="4">
        <f>IF(tblEnrollment[[#This Row],[Approved Date]]="",DATE(2026,6,3)-tblEnrollment[[#This Row],[Submitted Date]],tblEnrollment[[#This Row],[Approved Date]]-tblEnrollment[[#This Row],[Submitted Date]])</f>
        <v>17</v>
      </c>
      <c r="AA166" s="4" t="str">
        <f>IF(tblEnrollment[[#This Row],[Current Status]] ="Ready","Completed",IF(Z166&gt;21,"SLA Breached","Within SLA"))</f>
        <v>Within SLA</v>
      </c>
      <c r="AB166" s="4" t="str">
        <f>IF(tblEnrollment[[#This Row],[Credentialed NPI]] =tblEnrollment[[#This Row],[Enrolled NPI]],"NPI Match","NPI Mismatch")</f>
        <v>NPI Match</v>
      </c>
      <c r="AC166" s="4" t="str">
        <f>IF(OR(tblEnrollment[[#This Row],[Blocker Reason]] ="Individual NPI used instead of Group NPI",tblEnrollment[[#This Row],[Blocker Reason]] ="Credentialed NPI mismatch",tblEnrollment[[#This Row],[Blocker Reason]] ="Incorrect PTAN/Provider number"),"Yes","No")</f>
        <v>No</v>
      </c>
      <c r="AD166" s="4" t="str">
        <f>IF(OR(tblEnrollment[[#This Row],[Blocker Reason]] ="Wrong Payer ID",tblEnrollment[[#This Row],[Blocker Reason]] ="Old Payer ID used"),"Yes","No")</f>
        <v>Yes</v>
      </c>
      <c r="AE166" s="4" t="str">
        <f>IF(OR(tblEnrollment[[#This Row],[Clearinghouse Portal Updated]]="No",tblEnrollment[[#This Row],[Blocker Reason]] ="Clearinghouse portal not updated"),"Yes","No")</f>
        <v>No</v>
      </c>
      <c r="AF16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6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Status]]="Completed",AB166="NPI Match"),"Ready","Not Ready"),"Not Applicable")</f>
        <v>Not Ready</v>
      </c>
      <c r="AH166" s="4" t="str">
        <f>IF(OR(tblEnrollment[[#This Row],[Enrollment Type]]="ERA",tblEnrollment[[#This Row],[Enrollment Type]]="Claims and ERA"),IF(AND(tblEnrollment[[#This Row],[Credentialing Status]]="Completed",tblEnrollment[[#This Row],[ERA Enrollment Status]]="Approved",tblEnrollment[[#This Row],[Clearinghouse Configuration Status]]="Completed",AB166="NPI Match"),"Ready","Not Ready"),"Not Applicable")</f>
        <v>Not Ready</v>
      </c>
      <c r="AI166" s="4" t="str">
        <f>IF(tblEnrollment[[#This Row],[Blocker Reason]] ="No Blocker","No","Yes")</f>
        <v>Yes</v>
      </c>
    </row>
    <row r="167" spans="1:35" ht="29">
      <c r="A167" s="35" t="s">
        <v>947</v>
      </c>
      <c r="B167" s="35" t="s">
        <v>60</v>
      </c>
      <c r="C167" s="35" t="s">
        <v>948</v>
      </c>
      <c r="D167" s="35" t="s">
        <v>949</v>
      </c>
      <c r="E167" s="35" t="s">
        <v>100</v>
      </c>
      <c r="F167" s="35" t="s">
        <v>100</v>
      </c>
      <c r="G167" s="35" t="s">
        <v>100</v>
      </c>
      <c r="H167" s="35" t="s">
        <v>371</v>
      </c>
      <c r="I167" s="35" t="s">
        <v>129</v>
      </c>
      <c r="J167" s="35" t="s">
        <v>134</v>
      </c>
      <c r="K167" s="35" t="s">
        <v>44</v>
      </c>
      <c r="L167" s="35" t="s">
        <v>950</v>
      </c>
      <c r="M167" s="35" t="s">
        <v>55</v>
      </c>
      <c r="N167" s="35" t="s">
        <v>46</v>
      </c>
      <c r="O167" s="35" t="s">
        <v>47</v>
      </c>
      <c r="P167" s="35" t="s">
        <v>139</v>
      </c>
      <c r="Q167" s="35" t="s">
        <v>48</v>
      </c>
      <c r="R167" s="35" t="s">
        <v>46</v>
      </c>
      <c r="S167" s="36">
        <v>46047</v>
      </c>
      <c r="T167" s="36">
        <v>46059</v>
      </c>
      <c r="U167" s="35" t="s">
        <v>49</v>
      </c>
      <c r="V167" s="35" t="s">
        <v>348</v>
      </c>
      <c r="W167" s="35" t="s">
        <v>338</v>
      </c>
      <c r="X167" s="36">
        <v>46180</v>
      </c>
      <c r="Y167" s="35" t="s">
        <v>350</v>
      </c>
      <c r="Z167" s="4">
        <f>IF(tblEnrollment[[#This Row],[Approved Date]]="",DATE(2026,6,3)-tblEnrollment[[#This Row],[Submitted Date]],tblEnrollment[[#This Row],[Approved Date]]-tblEnrollment[[#This Row],[Submitted Date]])</f>
        <v>12</v>
      </c>
      <c r="AA167" s="4" t="str">
        <f>IF(tblEnrollment[[#This Row],[Current Status]] ="Ready","Completed",IF(Z167&gt;21,"SLA Breached","Within SLA"))</f>
        <v>Completed</v>
      </c>
      <c r="AB167" s="4" t="str">
        <f>IF(tblEnrollment[[#This Row],[Credentialed NPI]] =tblEnrollment[[#This Row],[Enrolled NPI]],"NPI Match","NPI Mismatch")</f>
        <v>NPI Match</v>
      </c>
      <c r="AC167" s="4" t="str">
        <f>IF(OR(tblEnrollment[[#This Row],[Blocker Reason]] ="Individual NPI used instead of Group NPI",tblEnrollment[[#This Row],[Blocker Reason]] ="Credentialed NPI mismatch",tblEnrollment[[#This Row],[Blocker Reason]] ="Incorrect PTAN/Provider number"),"Yes","No")</f>
        <v>No</v>
      </c>
      <c r="AD167" s="4" t="str">
        <f>IF(OR(tblEnrollment[[#This Row],[Blocker Reason]] ="Wrong Payer ID",tblEnrollment[[#This Row],[Blocker Reason]] ="Old Payer ID used"),"Yes","No")</f>
        <v>No</v>
      </c>
      <c r="AE167" s="4" t="str">
        <f>IF(OR(tblEnrollment[[#This Row],[Clearinghouse Portal Updated]]="No",tblEnrollment[[#This Row],[Blocker Reason]] ="Clearinghouse portal not updated"),"Yes","No")</f>
        <v>No</v>
      </c>
      <c r="AF16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6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Status]]="Completed",AB167="NPI Match"),"Ready","Not Ready"),"Not Applicable")</f>
        <v>Ready</v>
      </c>
      <c r="AH167" s="4" t="str">
        <f>IF(OR(tblEnrollment[[#This Row],[Enrollment Type]]="ERA",tblEnrollment[[#This Row],[Enrollment Type]]="Claims and ERA"),IF(AND(tblEnrollment[[#This Row],[Credentialing Status]]="Completed",tblEnrollment[[#This Row],[ERA Enrollment Status]]="Approved",tblEnrollment[[#This Row],[Clearinghouse Configuration Status]]="Completed",AB167="NPI Match"),"Ready","Not Ready"),"Not Applicable")</f>
        <v>Not Applicable</v>
      </c>
      <c r="AI167" s="4" t="str">
        <f>IF(tblEnrollment[[#This Row],[Blocker Reason]] ="No Blocker","No","Yes")</f>
        <v>No</v>
      </c>
    </row>
    <row r="168" spans="1:35" ht="29">
      <c r="A168" s="35" t="s">
        <v>951</v>
      </c>
      <c r="B168" s="35" t="s">
        <v>403</v>
      </c>
      <c r="C168" s="35" t="s">
        <v>660</v>
      </c>
      <c r="D168" s="35" t="s">
        <v>952</v>
      </c>
      <c r="E168" s="35" t="s">
        <v>98</v>
      </c>
      <c r="F168" s="35" t="s">
        <v>98</v>
      </c>
      <c r="G168" s="35" t="s">
        <v>98</v>
      </c>
      <c r="H168" s="35" t="s">
        <v>388</v>
      </c>
      <c r="I168" s="35" t="s">
        <v>43</v>
      </c>
      <c r="J168" s="35" t="s">
        <v>357</v>
      </c>
      <c r="K168" s="35" t="s">
        <v>44</v>
      </c>
      <c r="L168" s="35" t="s">
        <v>953</v>
      </c>
      <c r="M168" s="35" t="s">
        <v>45</v>
      </c>
      <c r="N168" s="35" t="s">
        <v>46</v>
      </c>
      <c r="O168" s="35" t="s">
        <v>47</v>
      </c>
      <c r="P168" s="35" t="s">
        <v>47</v>
      </c>
      <c r="Q168" s="35" t="s">
        <v>48</v>
      </c>
      <c r="R168" s="35" t="s">
        <v>46</v>
      </c>
      <c r="S168" s="36">
        <v>46128</v>
      </c>
      <c r="T168" s="36">
        <v>46148</v>
      </c>
      <c r="U168" s="35" t="s">
        <v>49</v>
      </c>
      <c r="V168" s="35" t="s">
        <v>348</v>
      </c>
      <c r="W168" s="35" t="s">
        <v>441</v>
      </c>
      <c r="X168" s="36">
        <v>46176</v>
      </c>
      <c r="Y168" s="35" t="s">
        <v>350</v>
      </c>
      <c r="Z168" s="4">
        <f>IF(tblEnrollment[[#This Row],[Approved Date]]="",DATE(2026,6,3)-tblEnrollment[[#This Row],[Submitted Date]],tblEnrollment[[#This Row],[Approved Date]]-tblEnrollment[[#This Row],[Submitted Date]])</f>
        <v>20</v>
      </c>
      <c r="AA168" s="4" t="str">
        <f>IF(tblEnrollment[[#This Row],[Current Status]] ="Ready","Completed",IF(Z168&gt;21,"SLA Breached","Within SLA"))</f>
        <v>Completed</v>
      </c>
      <c r="AB168" s="4" t="str">
        <f>IF(tblEnrollment[[#This Row],[Credentialed NPI]] =tblEnrollment[[#This Row],[Enrolled NPI]],"NPI Match","NPI Mismatch")</f>
        <v>NPI Match</v>
      </c>
      <c r="AC168" s="4" t="str">
        <f>IF(OR(tblEnrollment[[#This Row],[Blocker Reason]] ="Individual NPI used instead of Group NPI",tblEnrollment[[#This Row],[Blocker Reason]] ="Credentialed NPI mismatch",tblEnrollment[[#This Row],[Blocker Reason]] ="Incorrect PTAN/Provider number"),"Yes","No")</f>
        <v>No</v>
      </c>
      <c r="AD168" s="4" t="str">
        <f>IF(OR(tblEnrollment[[#This Row],[Blocker Reason]] ="Wrong Payer ID",tblEnrollment[[#This Row],[Blocker Reason]] ="Old Payer ID used"),"Yes","No")</f>
        <v>No</v>
      </c>
      <c r="AE168" s="4" t="str">
        <f>IF(OR(tblEnrollment[[#This Row],[Clearinghouse Portal Updated]]="No",tblEnrollment[[#This Row],[Blocker Reason]] ="Clearinghouse portal not updated"),"Yes","No")</f>
        <v>No</v>
      </c>
      <c r="AF16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6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Status]]="Completed",AB168="NPI Match"),"Ready","Not Ready"),"Not Applicable")</f>
        <v>Ready</v>
      </c>
      <c r="AH168" s="4" t="str">
        <f>IF(OR(tblEnrollment[[#This Row],[Enrollment Type]]="ERA",tblEnrollment[[#This Row],[Enrollment Type]]="Claims and ERA"),IF(AND(tblEnrollment[[#This Row],[Credentialing Status]]="Completed",tblEnrollment[[#This Row],[ERA Enrollment Status]]="Approved",tblEnrollment[[#This Row],[Clearinghouse Configuration Status]]="Completed",AB168="NPI Match"),"Ready","Not Ready"),"Not Applicable")</f>
        <v>Ready</v>
      </c>
      <c r="AI168" s="4" t="str">
        <f>IF(tblEnrollment[[#This Row],[Blocker Reason]] ="No Blocker","No","Yes")</f>
        <v>No</v>
      </c>
    </row>
    <row r="169" spans="1:35" ht="29">
      <c r="A169" s="35" t="s">
        <v>954</v>
      </c>
      <c r="B169" s="35" t="s">
        <v>61</v>
      </c>
      <c r="C169" s="35" t="s">
        <v>955</v>
      </c>
      <c r="D169" s="35" t="s">
        <v>956</v>
      </c>
      <c r="E169" s="35" t="s">
        <v>439</v>
      </c>
      <c r="F169" s="35" t="s">
        <v>439</v>
      </c>
      <c r="G169" s="35" t="s">
        <v>439</v>
      </c>
      <c r="H169" s="35" t="s">
        <v>707</v>
      </c>
      <c r="I169" s="35" t="s">
        <v>131</v>
      </c>
      <c r="J169" s="35" t="s">
        <v>342</v>
      </c>
      <c r="K169" s="35" t="s">
        <v>53</v>
      </c>
      <c r="L169" s="35" t="s">
        <v>54</v>
      </c>
      <c r="M169" s="35" t="s">
        <v>136</v>
      </c>
      <c r="N169" s="35" t="s">
        <v>46</v>
      </c>
      <c r="O169" s="35" t="s">
        <v>139</v>
      </c>
      <c r="P169" s="35" t="s">
        <v>56</v>
      </c>
      <c r="Q169" s="35" t="s">
        <v>48</v>
      </c>
      <c r="R169" s="35" t="s">
        <v>137</v>
      </c>
      <c r="S169" s="36">
        <v>46123</v>
      </c>
      <c r="T169" s="36"/>
      <c r="U169" s="35" t="s">
        <v>56</v>
      </c>
      <c r="V169" s="35" t="s">
        <v>364</v>
      </c>
      <c r="W169" s="35" t="s">
        <v>349</v>
      </c>
      <c r="X169" s="36">
        <v>46178</v>
      </c>
      <c r="Y169" s="35" t="s">
        <v>366</v>
      </c>
      <c r="Z169" s="4">
        <f>IF(tblEnrollment[[#This Row],[Approved Date]]="",DATE(2026,6,3)-tblEnrollment[[#This Row],[Submitted Date]],tblEnrollment[[#This Row],[Approved Date]]-tblEnrollment[[#This Row],[Submitted Date]])</f>
        <v>53</v>
      </c>
      <c r="AA169" s="4" t="str">
        <f>IF(tblEnrollment[[#This Row],[Current Status]] ="Ready","Completed",IF(Z169&gt;21,"SLA Breached","Within SLA"))</f>
        <v>SLA Breached</v>
      </c>
      <c r="AB169" s="4" t="str">
        <f>IF(tblEnrollment[[#This Row],[Credentialed NPI]] =tblEnrollment[[#This Row],[Enrolled NPI]],"NPI Match","NPI Mismatch")</f>
        <v>NPI Match</v>
      </c>
      <c r="AC169" s="4" t="str">
        <f>IF(OR(tblEnrollment[[#This Row],[Blocker Reason]] ="Individual NPI used instead of Group NPI",tblEnrollment[[#This Row],[Blocker Reason]] ="Credentialed NPI mismatch",tblEnrollment[[#This Row],[Blocker Reason]] ="Incorrect PTAN/Provider number"),"Yes","No")</f>
        <v>No</v>
      </c>
      <c r="AD169" s="4" t="str">
        <f>IF(OR(tblEnrollment[[#This Row],[Blocker Reason]] ="Wrong Payer ID",tblEnrollment[[#This Row],[Blocker Reason]] ="Old Payer ID used"),"Yes","No")</f>
        <v>No</v>
      </c>
      <c r="AE169" s="4" t="str">
        <f>IF(OR(tblEnrollment[[#This Row],[Clearinghouse Portal Updated]]="No",tblEnrollment[[#This Row],[Blocker Reason]] ="Clearinghouse portal not updated"),"Yes","No")</f>
        <v>No</v>
      </c>
      <c r="AF16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6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Status]]="Completed",AB169="NPI Match"),"Ready","Not Ready"),"Not Applicable")</f>
        <v>Not Applicable</v>
      </c>
      <c r="AH169" s="4" t="str">
        <f>IF(OR(tblEnrollment[[#This Row],[Enrollment Type]]="ERA",tblEnrollment[[#This Row],[Enrollment Type]]="Claims and ERA"),IF(AND(tblEnrollment[[#This Row],[Credentialing Status]]="Completed",tblEnrollment[[#This Row],[ERA Enrollment Status]]="Approved",tblEnrollment[[#This Row],[Clearinghouse Configuration Status]]="Completed",AB169="NPI Match"),"Ready","Not Ready"),"Not Applicable")</f>
        <v>Not Ready</v>
      </c>
      <c r="AI169" s="4" t="str">
        <f>IF(tblEnrollment[[#This Row],[Blocker Reason]] ="No Blocker","No","Yes")</f>
        <v>Yes</v>
      </c>
    </row>
    <row r="170" spans="1:35" ht="29">
      <c r="A170" s="35" t="s">
        <v>957</v>
      </c>
      <c r="B170" s="35" t="s">
        <v>68</v>
      </c>
      <c r="C170" s="35" t="s">
        <v>958</v>
      </c>
      <c r="D170" s="35" t="s">
        <v>959</v>
      </c>
      <c r="E170" s="35" t="s">
        <v>87</v>
      </c>
      <c r="F170" s="35" t="s">
        <v>87</v>
      </c>
      <c r="G170" s="35" t="s">
        <v>959</v>
      </c>
      <c r="H170" s="35" t="s">
        <v>397</v>
      </c>
      <c r="I170" s="35" t="s">
        <v>131</v>
      </c>
      <c r="J170" s="35" t="s">
        <v>342</v>
      </c>
      <c r="K170" s="35" t="s">
        <v>53</v>
      </c>
      <c r="L170" s="35" t="s">
        <v>54</v>
      </c>
      <c r="M170" s="35" t="s">
        <v>136</v>
      </c>
      <c r="N170" s="35" t="s">
        <v>46</v>
      </c>
      <c r="O170" s="35" t="s">
        <v>139</v>
      </c>
      <c r="P170" s="35" t="s">
        <v>138</v>
      </c>
      <c r="Q170" s="35" t="s">
        <v>48</v>
      </c>
      <c r="R170" s="35" t="s">
        <v>140</v>
      </c>
      <c r="S170" s="36">
        <v>46083</v>
      </c>
      <c r="T170" s="36"/>
      <c r="U170" s="35" t="s">
        <v>141</v>
      </c>
      <c r="V170" s="35" t="s">
        <v>412</v>
      </c>
      <c r="W170" s="35" t="s">
        <v>441</v>
      </c>
      <c r="X170" s="36">
        <v>46184</v>
      </c>
      <c r="Y170" s="35" t="s">
        <v>413</v>
      </c>
      <c r="Z170" s="4">
        <f>IF(tblEnrollment[[#This Row],[Approved Date]]="",DATE(2026,6,3)-tblEnrollment[[#This Row],[Submitted Date]],tblEnrollment[[#This Row],[Approved Date]]-tblEnrollment[[#This Row],[Submitted Date]])</f>
        <v>93</v>
      </c>
      <c r="AA170" s="4" t="str">
        <f>IF(tblEnrollment[[#This Row],[Current Status]] ="Ready","Completed",IF(Z170&gt;21,"SLA Breached","Within SLA"))</f>
        <v>SLA Breached</v>
      </c>
      <c r="AB170" s="4" t="str">
        <f>IF(tblEnrollment[[#This Row],[Credentialed NPI]] =tblEnrollment[[#This Row],[Enrolled NPI]],"NPI Match","NPI Mismatch")</f>
        <v>NPI Mismatch</v>
      </c>
      <c r="AC170" s="4" t="str">
        <f>IF(OR(tblEnrollment[[#This Row],[Blocker Reason]] ="Individual NPI used instead of Group NPI",tblEnrollment[[#This Row],[Blocker Reason]] ="Credentialed NPI mismatch",tblEnrollment[[#This Row],[Blocker Reason]] ="Incorrect PTAN/Provider number"),"Yes","No")</f>
        <v>Yes</v>
      </c>
      <c r="AD170" s="4" t="str">
        <f>IF(OR(tblEnrollment[[#This Row],[Blocker Reason]] ="Wrong Payer ID",tblEnrollment[[#This Row],[Blocker Reason]] ="Old Payer ID used"),"Yes","No")</f>
        <v>No</v>
      </c>
      <c r="AE170" s="4" t="str">
        <f>IF(OR(tblEnrollment[[#This Row],[Clearinghouse Portal Updated]]="No",tblEnrollment[[#This Row],[Blocker Reason]] ="Clearinghouse portal not updated"),"Yes","No")</f>
        <v>No</v>
      </c>
      <c r="AF17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7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Status]]="Completed",AB170="NPI Match"),"Ready","Not Ready"),"Not Applicable")</f>
        <v>Not Applicable</v>
      </c>
      <c r="AH170" s="4" t="str">
        <f>IF(OR(tblEnrollment[[#This Row],[Enrollment Type]]="ERA",tblEnrollment[[#This Row],[Enrollment Type]]="Claims and ERA"),IF(AND(tblEnrollment[[#This Row],[Credentialing Status]]="Completed",tblEnrollment[[#This Row],[ERA Enrollment Status]]="Approved",tblEnrollment[[#This Row],[Clearinghouse Configuration Status]]="Completed",AB170="NPI Match"),"Ready","Not Ready"),"Not Applicable")</f>
        <v>Not Ready</v>
      </c>
      <c r="AI170" s="4" t="str">
        <f>IF(tblEnrollment[[#This Row],[Blocker Reason]] ="No Blocker","No","Yes")</f>
        <v>Yes</v>
      </c>
    </row>
    <row r="171" spans="1:35" ht="29">
      <c r="A171" s="35" t="s">
        <v>960</v>
      </c>
      <c r="B171" s="35" t="s">
        <v>61</v>
      </c>
      <c r="C171" s="35" t="s">
        <v>676</v>
      </c>
      <c r="D171" s="35" t="s">
        <v>961</v>
      </c>
      <c r="E171" s="35" t="s">
        <v>456</v>
      </c>
      <c r="F171" s="35" t="s">
        <v>456</v>
      </c>
      <c r="G171" s="35" t="s">
        <v>962</v>
      </c>
      <c r="H171" s="35" t="s">
        <v>670</v>
      </c>
      <c r="I171" s="35" t="s">
        <v>51</v>
      </c>
      <c r="J171" s="35" t="s">
        <v>52</v>
      </c>
      <c r="K171" s="35" t="s">
        <v>53</v>
      </c>
      <c r="L171" s="35" t="s">
        <v>54</v>
      </c>
      <c r="M171" s="35" t="s">
        <v>136</v>
      </c>
      <c r="N171" s="35" t="s">
        <v>46</v>
      </c>
      <c r="O171" s="35" t="s">
        <v>139</v>
      </c>
      <c r="P171" s="35" t="s">
        <v>138</v>
      </c>
      <c r="Q171" s="35" t="s">
        <v>48</v>
      </c>
      <c r="R171" s="35" t="s">
        <v>140</v>
      </c>
      <c r="S171" s="36">
        <v>46079</v>
      </c>
      <c r="T171" s="36"/>
      <c r="U171" s="35" t="s">
        <v>141</v>
      </c>
      <c r="V171" s="35" t="s">
        <v>144</v>
      </c>
      <c r="W171" s="35" t="s">
        <v>349</v>
      </c>
      <c r="X171" s="36">
        <v>46187</v>
      </c>
      <c r="Y171" s="35" t="s">
        <v>389</v>
      </c>
      <c r="Z171" s="4">
        <f>IF(tblEnrollment[[#This Row],[Approved Date]]="",DATE(2026,6,3)-tblEnrollment[[#This Row],[Submitted Date]],tblEnrollment[[#This Row],[Approved Date]]-tblEnrollment[[#This Row],[Submitted Date]])</f>
        <v>97</v>
      </c>
      <c r="AA171" s="4" t="str">
        <f>IF(tblEnrollment[[#This Row],[Current Status]] ="Ready","Completed",IF(Z171&gt;21,"SLA Breached","Within SLA"))</f>
        <v>SLA Breached</v>
      </c>
      <c r="AB171" s="4" t="str">
        <f>IF(tblEnrollment[[#This Row],[Credentialed NPI]] =tblEnrollment[[#This Row],[Enrolled NPI]],"NPI Match","NPI Mismatch")</f>
        <v>NPI Mismatch</v>
      </c>
      <c r="AC171" s="4" t="str">
        <f>IF(OR(tblEnrollment[[#This Row],[Blocker Reason]] ="Individual NPI used instead of Group NPI",tblEnrollment[[#This Row],[Blocker Reason]] ="Credentialed NPI mismatch",tblEnrollment[[#This Row],[Blocker Reason]] ="Incorrect PTAN/Provider number"),"Yes","No")</f>
        <v>Yes</v>
      </c>
      <c r="AD171" s="4" t="str">
        <f>IF(OR(tblEnrollment[[#This Row],[Blocker Reason]] ="Wrong Payer ID",tblEnrollment[[#This Row],[Blocker Reason]] ="Old Payer ID used"),"Yes","No")</f>
        <v>No</v>
      </c>
      <c r="AE171" s="4" t="str">
        <f>IF(OR(tblEnrollment[[#This Row],[Clearinghouse Portal Updated]]="No",tblEnrollment[[#This Row],[Blocker Reason]] ="Clearinghouse portal not updated"),"Yes","No")</f>
        <v>No</v>
      </c>
      <c r="AF17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7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Status]]="Completed",AB171="NPI Match"),"Ready","Not Ready"),"Not Applicable")</f>
        <v>Not Applicable</v>
      </c>
      <c r="AH171" s="4" t="str">
        <f>IF(OR(tblEnrollment[[#This Row],[Enrollment Type]]="ERA",tblEnrollment[[#This Row],[Enrollment Type]]="Claims and ERA"),IF(AND(tblEnrollment[[#This Row],[Credentialing Status]]="Completed",tblEnrollment[[#This Row],[ERA Enrollment Status]]="Approved",tblEnrollment[[#This Row],[Clearinghouse Configuration Status]]="Completed",AB171="NPI Match"),"Ready","Not Ready"),"Not Applicable")</f>
        <v>Not Ready</v>
      </c>
      <c r="AI171" s="4" t="str">
        <f>IF(tblEnrollment[[#This Row],[Blocker Reason]] ="No Blocker","No","Yes")</f>
        <v>Yes</v>
      </c>
    </row>
    <row r="172" spans="1:35" ht="29">
      <c r="A172" s="35" t="s">
        <v>963</v>
      </c>
      <c r="B172" s="35" t="s">
        <v>70</v>
      </c>
      <c r="C172" s="35" t="s">
        <v>964</v>
      </c>
      <c r="D172" s="35" t="s">
        <v>965</v>
      </c>
      <c r="E172" s="35" t="s">
        <v>104</v>
      </c>
      <c r="F172" s="35" t="s">
        <v>104</v>
      </c>
      <c r="G172" s="35" t="s">
        <v>104</v>
      </c>
      <c r="H172" s="35" t="s">
        <v>356</v>
      </c>
      <c r="I172" s="35" t="s">
        <v>346</v>
      </c>
      <c r="J172" s="35" t="s">
        <v>347</v>
      </c>
      <c r="K172" s="35" t="s">
        <v>53</v>
      </c>
      <c r="L172" s="35" t="s">
        <v>54</v>
      </c>
      <c r="M172" s="35" t="s">
        <v>45</v>
      </c>
      <c r="N172" s="35" t="s">
        <v>46</v>
      </c>
      <c r="O172" s="35" t="s">
        <v>47</v>
      </c>
      <c r="P172" s="35" t="s">
        <v>56</v>
      </c>
      <c r="Q172" s="35" t="s">
        <v>58</v>
      </c>
      <c r="R172" s="35" t="s">
        <v>56</v>
      </c>
      <c r="S172" s="36">
        <v>46051</v>
      </c>
      <c r="T172" s="36"/>
      <c r="U172" s="35" t="s">
        <v>56</v>
      </c>
      <c r="V172" s="35" t="s">
        <v>143</v>
      </c>
      <c r="W172" s="35" t="s">
        <v>349</v>
      </c>
      <c r="X172" s="36">
        <v>46177</v>
      </c>
      <c r="Y172" s="35" t="s">
        <v>343</v>
      </c>
      <c r="Z172" s="4">
        <f>IF(tblEnrollment[[#This Row],[Approved Date]]="",DATE(2026,6,3)-tblEnrollment[[#This Row],[Submitted Date]],tblEnrollment[[#This Row],[Approved Date]]-tblEnrollment[[#This Row],[Submitted Date]])</f>
        <v>125</v>
      </c>
      <c r="AA172" s="4" t="str">
        <f>IF(tblEnrollment[[#This Row],[Current Status]] ="Ready","Completed",IF(Z172&gt;21,"SLA Breached","Within SLA"))</f>
        <v>SLA Breached</v>
      </c>
      <c r="AB172" s="4" t="str">
        <f>IF(tblEnrollment[[#This Row],[Credentialed NPI]] =tblEnrollment[[#This Row],[Enrolled NPI]],"NPI Match","NPI Mismatch")</f>
        <v>NPI Match</v>
      </c>
      <c r="AC172" s="4" t="str">
        <f>IF(OR(tblEnrollment[[#This Row],[Blocker Reason]] ="Individual NPI used instead of Group NPI",tblEnrollment[[#This Row],[Blocker Reason]] ="Credentialed NPI mismatch",tblEnrollment[[#This Row],[Blocker Reason]] ="Incorrect PTAN/Provider number"),"Yes","No")</f>
        <v>No</v>
      </c>
      <c r="AD172" s="4" t="str">
        <f>IF(OR(tblEnrollment[[#This Row],[Blocker Reason]] ="Wrong Payer ID",tblEnrollment[[#This Row],[Blocker Reason]] ="Old Payer ID used"),"Yes","No")</f>
        <v>No</v>
      </c>
      <c r="AE172" s="4" t="str">
        <f>IF(OR(tblEnrollment[[#This Row],[Clearinghouse Portal Updated]]="No",tblEnrollment[[#This Row],[Blocker Reason]] ="Clearinghouse portal not updated"),"Yes","No")</f>
        <v>Yes</v>
      </c>
      <c r="AF17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7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Status]]="Completed",AB172="NPI Match"),"Ready","Not Ready"),"Not Applicable")</f>
        <v>Not Ready</v>
      </c>
      <c r="AH172" s="4" t="str">
        <f>IF(OR(tblEnrollment[[#This Row],[Enrollment Type]]="ERA",tblEnrollment[[#This Row],[Enrollment Type]]="Claims and ERA"),IF(AND(tblEnrollment[[#This Row],[Credentialing Status]]="Completed",tblEnrollment[[#This Row],[ERA Enrollment Status]]="Approved",tblEnrollment[[#This Row],[Clearinghouse Configuration Status]]="Completed",AB172="NPI Match"),"Ready","Not Ready"),"Not Applicable")</f>
        <v>Not Ready</v>
      </c>
      <c r="AI172" s="4" t="str">
        <f>IF(tblEnrollment[[#This Row],[Blocker Reason]] ="No Blocker","No","Yes")</f>
        <v>Yes</v>
      </c>
    </row>
    <row r="173" spans="1:35" ht="29">
      <c r="A173" s="35" t="s">
        <v>966</v>
      </c>
      <c r="B173" s="35" t="s">
        <v>72</v>
      </c>
      <c r="C173" s="35" t="s">
        <v>967</v>
      </c>
      <c r="D173" s="35" t="s">
        <v>968</v>
      </c>
      <c r="E173" s="35" t="s">
        <v>91</v>
      </c>
      <c r="F173" s="35" t="s">
        <v>91</v>
      </c>
      <c r="G173" s="35" t="s">
        <v>91</v>
      </c>
      <c r="H173" s="35" t="s">
        <v>356</v>
      </c>
      <c r="I173" s="35" t="s">
        <v>132</v>
      </c>
      <c r="J173" s="35" t="s">
        <v>530</v>
      </c>
      <c r="K173" s="35" t="s">
        <v>53</v>
      </c>
      <c r="L173" s="35" t="s">
        <v>54</v>
      </c>
      <c r="M173" s="35" t="s">
        <v>45</v>
      </c>
      <c r="N173" s="35" t="s">
        <v>46</v>
      </c>
      <c r="O173" s="35" t="s">
        <v>138</v>
      </c>
      <c r="P173" s="35" t="s">
        <v>138</v>
      </c>
      <c r="Q173" s="35" t="s">
        <v>48</v>
      </c>
      <c r="R173" s="35" t="s">
        <v>140</v>
      </c>
      <c r="S173" s="36">
        <v>46069</v>
      </c>
      <c r="T173" s="36"/>
      <c r="U173" s="35" t="s">
        <v>141</v>
      </c>
      <c r="V173" s="35" t="s">
        <v>329</v>
      </c>
      <c r="W173" s="35" t="s">
        <v>365</v>
      </c>
      <c r="X173" s="36">
        <v>46177</v>
      </c>
      <c r="Y173" s="35" t="s">
        <v>331</v>
      </c>
      <c r="Z173" s="4">
        <f>IF(tblEnrollment[[#This Row],[Approved Date]]="",DATE(2026,6,3)-tblEnrollment[[#This Row],[Submitted Date]],tblEnrollment[[#This Row],[Approved Date]]-tblEnrollment[[#This Row],[Submitted Date]])</f>
        <v>107</v>
      </c>
      <c r="AA173" s="4" t="str">
        <f>IF(tblEnrollment[[#This Row],[Current Status]] ="Ready","Completed",IF(Z173&gt;21,"SLA Breached","Within SLA"))</f>
        <v>SLA Breached</v>
      </c>
      <c r="AB173" s="4" t="str">
        <f>IF(tblEnrollment[[#This Row],[Credentialed NPI]] =tblEnrollment[[#This Row],[Enrolled NPI]],"NPI Match","NPI Mismatch")</f>
        <v>NPI Match</v>
      </c>
      <c r="AC173" s="4" t="str">
        <f>IF(OR(tblEnrollment[[#This Row],[Blocker Reason]] ="Individual NPI used instead of Group NPI",tblEnrollment[[#This Row],[Blocker Reason]] ="Credentialed NPI mismatch",tblEnrollment[[#This Row],[Blocker Reason]] ="Incorrect PTAN/Provider number"),"Yes","No")</f>
        <v>No</v>
      </c>
      <c r="AD173" s="4" t="str">
        <f>IF(OR(tblEnrollment[[#This Row],[Blocker Reason]] ="Wrong Payer ID",tblEnrollment[[#This Row],[Blocker Reason]] ="Old Payer ID used"),"Yes","No")</f>
        <v>Yes</v>
      </c>
      <c r="AE173" s="4" t="str">
        <f>IF(OR(tblEnrollment[[#This Row],[Clearinghouse Portal Updated]]="No",tblEnrollment[[#This Row],[Blocker Reason]] ="Clearinghouse portal not updated"),"Yes","No")</f>
        <v>No</v>
      </c>
      <c r="AF17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7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Status]]="Completed",AB173="NPI Match"),"Ready","Not Ready"),"Not Applicable")</f>
        <v>Not Ready</v>
      </c>
      <c r="AH173" s="4" t="str">
        <f>IF(OR(tblEnrollment[[#This Row],[Enrollment Type]]="ERA",tblEnrollment[[#This Row],[Enrollment Type]]="Claims and ERA"),IF(AND(tblEnrollment[[#This Row],[Credentialing Status]]="Completed",tblEnrollment[[#This Row],[ERA Enrollment Status]]="Approved",tblEnrollment[[#This Row],[Clearinghouse Configuration Status]]="Completed",AB173="NPI Match"),"Ready","Not Ready"),"Not Applicable")</f>
        <v>Not Ready</v>
      </c>
      <c r="AI173" s="4" t="str">
        <f>IF(tblEnrollment[[#This Row],[Blocker Reason]] ="No Blocker","No","Yes")</f>
        <v>Yes</v>
      </c>
    </row>
    <row r="174" spans="1:35" ht="29">
      <c r="A174" s="35" t="s">
        <v>969</v>
      </c>
      <c r="B174" s="35" t="s">
        <v>68</v>
      </c>
      <c r="C174" s="35" t="s">
        <v>970</v>
      </c>
      <c r="D174" s="35" t="s">
        <v>971</v>
      </c>
      <c r="E174" s="35" t="s">
        <v>84</v>
      </c>
      <c r="F174" s="35" t="s">
        <v>84</v>
      </c>
      <c r="G174" s="35" t="s">
        <v>971</v>
      </c>
      <c r="H174" s="35" t="s">
        <v>114</v>
      </c>
      <c r="I174" s="35" t="s">
        <v>346</v>
      </c>
      <c r="J174" s="35" t="s">
        <v>347</v>
      </c>
      <c r="K174" s="35" t="s">
        <v>53</v>
      </c>
      <c r="L174" s="35" t="s">
        <v>54</v>
      </c>
      <c r="M174" s="35" t="s">
        <v>55</v>
      </c>
      <c r="N174" s="35" t="s">
        <v>46</v>
      </c>
      <c r="O174" s="35" t="s">
        <v>138</v>
      </c>
      <c r="P174" s="35" t="s">
        <v>139</v>
      </c>
      <c r="Q174" s="35" t="s">
        <v>48</v>
      </c>
      <c r="R174" s="35" t="s">
        <v>140</v>
      </c>
      <c r="S174" s="36">
        <v>46131</v>
      </c>
      <c r="T174" s="36"/>
      <c r="U174" s="35" t="s">
        <v>141</v>
      </c>
      <c r="V174" s="35" t="s">
        <v>412</v>
      </c>
      <c r="W174" s="35" t="s">
        <v>349</v>
      </c>
      <c r="X174" s="36">
        <v>46181</v>
      </c>
      <c r="Y174" s="35" t="s">
        <v>413</v>
      </c>
      <c r="Z174" s="4">
        <f>IF(tblEnrollment[[#This Row],[Approved Date]]="",DATE(2026,6,3)-tblEnrollment[[#This Row],[Submitted Date]],tblEnrollment[[#This Row],[Approved Date]]-tblEnrollment[[#This Row],[Submitted Date]])</f>
        <v>45</v>
      </c>
      <c r="AA174" s="4" t="str">
        <f>IF(tblEnrollment[[#This Row],[Current Status]] ="Ready","Completed",IF(Z174&gt;21,"SLA Breached","Within SLA"))</f>
        <v>SLA Breached</v>
      </c>
      <c r="AB174" s="4" t="str">
        <f>IF(tblEnrollment[[#This Row],[Credentialed NPI]] =tblEnrollment[[#This Row],[Enrolled NPI]],"NPI Match","NPI Mismatch")</f>
        <v>NPI Mismatch</v>
      </c>
      <c r="AC174" s="4" t="str">
        <f>IF(OR(tblEnrollment[[#This Row],[Blocker Reason]] ="Individual NPI used instead of Group NPI",tblEnrollment[[#This Row],[Blocker Reason]] ="Credentialed NPI mismatch",tblEnrollment[[#This Row],[Blocker Reason]] ="Incorrect PTAN/Provider number"),"Yes","No")</f>
        <v>Yes</v>
      </c>
      <c r="AD174" s="4" t="str">
        <f>IF(OR(tblEnrollment[[#This Row],[Blocker Reason]] ="Wrong Payer ID",tblEnrollment[[#This Row],[Blocker Reason]] ="Old Payer ID used"),"Yes","No")</f>
        <v>No</v>
      </c>
      <c r="AE174" s="4" t="str">
        <f>IF(OR(tblEnrollment[[#This Row],[Clearinghouse Portal Updated]]="No",tblEnrollment[[#This Row],[Blocker Reason]] ="Clearinghouse portal not updated"),"Yes","No")</f>
        <v>No</v>
      </c>
      <c r="AF17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7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Status]]="Completed",AB174="NPI Match"),"Ready","Not Ready"),"Not Applicable")</f>
        <v>Not Ready</v>
      </c>
      <c r="AH174" s="4" t="str">
        <f>IF(OR(tblEnrollment[[#This Row],[Enrollment Type]]="ERA",tblEnrollment[[#This Row],[Enrollment Type]]="Claims and ERA"),IF(AND(tblEnrollment[[#This Row],[Credentialing Status]]="Completed",tblEnrollment[[#This Row],[ERA Enrollment Status]]="Approved",tblEnrollment[[#This Row],[Clearinghouse Configuration Status]]="Completed",AB174="NPI Match"),"Ready","Not Ready"),"Not Applicable")</f>
        <v>Not Applicable</v>
      </c>
      <c r="AI174" s="4" t="str">
        <f>IF(tblEnrollment[[#This Row],[Blocker Reason]] ="No Blocker","No","Yes")</f>
        <v>Yes</v>
      </c>
    </row>
    <row r="175" spans="1:35" ht="29">
      <c r="A175" s="35" t="s">
        <v>972</v>
      </c>
      <c r="B175" s="35" t="s">
        <v>74</v>
      </c>
      <c r="C175" s="35" t="s">
        <v>380</v>
      </c>
      <c r="D175" s="35" t="s">
        <v>973</v>
      </c>
      <c r="E175" s="35" t="s">
        <v>105</v>
      </c>
      <c r="F175" s="35" t="s">
        <v>105</v>
      </c>
      <c r="G175" s="35" t="s">
        <v>105</v>
      </c>
      <c r="H175" s="35" t="s">
        <v>707</v>
      </c>
      <c r="I175" s="35" t="s">
        <v>130</v>
      </c>
      <c r="J175" s="35" t="s">
        <v>393</v>
      </c>
      <c r="K175" s="35" t="s">
        <v>53</v>
      </c>
      <c r="L175" s="35" t="s">
        <v>54</v>
      </c>
      <c r="M175" s="35" t="s">
        <v>136</v>
      </c>
      <c r="N175" s="35" t="s">
        <v>46</v>
      </c>
      <c r="O175" s="35" t="s">
        <v>139</v>
      </c>
      <c r="P175" s="35" t="s">
        <v>56</v>
      </c>
      <c r="Q175" s="35" t="s">
        <v>58</v>
      </c>
      <c r="R175" s="35" t="s">
        <v>56</v>
      </c>
      <c r="S175" s="36">
        <v>46066</v>
      </c>
      <c r="T175" s="36"/>
      <c r="U175" s="35" t="s">
        <v>56</v>
      </c>
      <c r="V175" s="35" t="s">
        <v>143</v>
      </c>
      <c r="W175" s="35" t="s">
        <v>365</v>
      </c>
      <c r="X175" s="36">
        <v>46176</v>
      </c>
      <c r="Y175" s="35" t="s">
        <v>343</v>
      </c>
      <c r="Z175" s="4">
        <f>IF(tblEnrollment[[#This Row],[Approved Date]]="",DATE(2026,6,3)-tblEnrollment[[#This Row],[Submitted Date]],tblEnrollment[[#This Row],[Approved Date]]-tblEnrollment[[#This Row],[Submitted Date]])</f>
        <v>110</v>
      </c>
      <c r="AA175" s="4" t="str">
        <f>IF(tblEnrollment[[#This Row],[Current Status]] ="Ready","Completed",IF(Z175&gt;21,"SLA Breached","Within SLA"))</f>
        <v>SLA Breached</v>
      </c>
      <c r="AB175" s="4" t="str">
        <f>IF(tblEnrollment[[#This Row],[Credentialed NPI]] =tblEnrollment[[#This Row],[Enrolled NPI]],"NPI Match","NPI Mismatch")</f>
        <v>NPI Match</v>
      </c>
      <c r="AC175" s="4" t="str">
        <f>IF(OR(tblEnrollment[[#This Row],[Blocker Reason]] ="Individual NPI used instead of Group NPI",tblEnrollment[[#This Row],[Blocker Reason]] ="Credentialed NPI mismatch",tblEnrollment[[#This Row],[Blocker Reason]] ="Incorrect PTAN/Provider number"),"Yes","No")</f>
        <v>No</v>
      </c>
      <c r="AD175" s="4" t="str">
        <f>IF(OR(tblEnrollment[[#This Row],[Blocker Reason]] ="Wrong Payer ID",tblEnrollment[[#This Row],[Blocker Reason]] ="Old Payer ID used"),"Yes","No")</f>
        <v>No</v>
      </c>
      <c r="AE175" s="4" t="str">
        <f>IF(OR(tblEnrollment[[#This Row],[Clearinghouse Portal Updated]]="No",tblEnrollment[[#This Row],[Blocker Reason]] ="Clearinghouse portal not updated"),"Yes","No")</f>
        <v>Yes</v>
      </c>
      <c r="AF17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7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Status]]="Completed",AB175="NPI Match"),"Ready","Not Ready"),"Not Applicable")</f>
        <v>Not Applicable</v>
      </c>
      <c r="AH175" s="4" t="str">
        <f>IF(OR(tblEnrollment[[#This Row],[Enrollment Type]]="ERA",tblEnrollment[[#This Row],[Enrollment Type]]="Claims and ERA"),IF(AND(tblEnrollment[[#This Row],[Credentialing Status]]="Completed",tblEnrollment[[#This Row],[ERA Enrollment Status]]="Approved",tblEnrollment[[#This Row],[Clearinghouse Configuration Status]]="Completed",AB175="NPI Match"),"Ready","Not Ready"),"Not Applicable")</f>
        <v>Not Ready</v>
      </c>
      <c r="AI175" s="4" t="str">
        <f>IF(tblEnrollment[[#This Row],[Blocker Reason]] ="No Blocker","No","Yes")</f>
        <v>Yes</v>
      </c>
    </row>
    <row r="176" spans="1:35" ht="29">
      <c r="A176" s="35" t="s">
        <v>974</v>
      </c>
      <c r="B176" s="35" t="s">
        <v>72</v>
      </c>
      <c r="C176" s="35" t="s">
        <v>975</v>
      </c>
      <c r="D176" s="35" t="s">
        <v>976</v>
      </c>
      <c r="E176" s="35" t="s">
        <v>874</v>
      </c>
      <c r="F176" s="35" t="s">
        <v>874</v>
      </c>
      <c r="G176" s="35" t="s">
        <v>874</v>
      </c>
      <c r="H176" s="35" t="s">
        <v>465</v>
      </c>
      <c r="I176" s="35" t="s">
        <v>43</v>
      </c>
      <c r="J176" s="35" t="s">
        <v>357</v>
      </c>
      <c r="K176" s="35" t="s">
        <v>44</v>
      </c>
      <c r="L176" s="35" t="s">
        <v>977</v>
      </c>
      <c r="M176" s="35" t="s">
        <v>136</v>
      </c>
      <c r="N176" s="35" t="s">
        <v>46</v>
      </c>
      <c r="O176" s="35" t="s">
        <v>139</v>
      </c>
      <c r="P176" s="35" t="s">
        <v>56</v>
      </c>
      <c r="Q176" s="35" t="s">
        <v>58</v>
      </c>
      <c r="R176" s="35" t="s">
        <v>56</v>
      </c>
      <c r="S176" s="36">
        <v>46151</v>
      </c>
      <c r="T176" s="36"/>
      <c r="U176" s="35" t="s">
        <v>56</v>
      </c>
      <c r="V176" s="35" t="s">
        <v>143</v>
      </c>
      <c r="W176" s="35" t="s">
        <v>338</v>
      </c>
      <c r="X176" s="36">
        <v>46179</v>
      </c>
      <c r="Y176" s="35" t="s">
        <v>343</v>
      </c>
      <c r="Z176" s="4">
        <f>IF(tblEnrollment[[#This Row],[Approved Date]]="",DATE(2026,6,3)-tblEnrollment[[#This Row],[Submitted Date]],tblEnrollment[[#This Row],[Approved Date]]-tblEnrollment[[#This Row],[Submitted Date]])</f>
        <v>25</v>
      </c>
      <c r="AA176" s="4" t="str">
        <f>IF(tblEnrollment[[#This Row],[Current Status]] ="Ready","Completed",IF(Z176&gt;21,"SLA Breached","Within SLA"))</f>
        <v>SLA Breached</v>
      </c>
      <c r="AB176" s="4" t="str">
        <f>IF(tblEnrollment[[#This Row],[Credentialed NPI]] =tblEnrollment[[#This Row],[Enrolled NPI]],"NPI Match","NPI Mismatch")</f>
        <v>NPI Match</v>
      </c>
      <c r="AC176" s="4" t="str">
        <f>IF(OR(tblEnrollment[[#This Row],[Blocker Reason]] ="Individual NPI used instead of Group NPI",tblEnrollment[[#This Row],[Blocker Reason]] ="Credentialed NPI mismatch",tblEnrollment[[#This Row],[Blocker Reason]] ="Incorrect PTAN/Provider number"),"Yes","No")</f>
        <v>No</v>
      </c>
      <c r="AD176" s="4" t="str">
        <f>IF(OR(tblEnrollment[[#This Row],[Blocker Reason]] ="Wrong Payer ID",tblEnrollment[[#This Row],[Blocker Reason]] ="Old Payer ID used"),"Yes","No")</f>
        <v>No</v>
      </c>
      <c r="AE176" s="4" t="str">
        <f>IF(OR(tblEnrollment[[#This Row],[Clearinghouse Portal Updated]]="No",tblEnrollment[[#This Row],[Blocker Reason]] ="Clearinghouse portal not updated"),"Yes","No")</f>
        <v>Yes</v>
      </c>
      <c r="AF17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7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Status]]="Completed",AB176="NPI Match"),"Ready","Not Ready"),"Not Applicable")</f>
        <v>Not Applicable</v>
      </c>
      <c r="AH176" s="4" t="str">
        <f>IF(OR(tblEnrollment[[#This Row],[Enrollment Type]]="ERA",tblEnrollment[[#This Row],[Enrollment Type]]="Claims and ERA"),IF(AND(tblEnrollment[[#This Row],[Credentialing Status]]="Completed",tblEnrollment[[#This Row],[ERA Enrollment Status]]="Approved",tblEnrollment[[#This Row],[Clearinghouse Configuration Status]]="Completed",AB176="NPI Match"),"Ready","Not Ready"),"Not Applicable")</f>
        <v>Not Ready</v>
      </c>
      <c r="AI176" s="4" t="str">
        <f>IF(tblEnrollment[[#This Row],[Blocker Reason]] ="No Blocker","No","Yes")</f>
        <v>Yes</v>
      </c>
    </row>
    <row r="177" spans="1:35" ht="29">
      <c r="A177" s="35" t="s">
        <v>978</v>
      </c>
      <c r="B177" s="35" t="s">
        <v>78</v>
      </c>
      <c r="C177" s="35" t="s">
        <v>979</v>
      </c>
      <c r="D177" s="35" t="s">
        <v>980</v>
      </c>
      <c r="E177" s="35" t="s">
        <v>89</v>
      </c>
      <c r="F177" s="35" t="s">
        <v>89</v>
      </c>
      <c r="G177" s="35" t="s">
        <v>980</v>
      </c>
      <c r="H177" s="35" t="s">
        <v>670</v>
      </c>
      <c r="I177" s="35" t="s">
        <v>129</v>
      </c>
      <c r="J177" s="35" t="s">
        <v>134</v>
      </c>
      <c r="K177" s="35" t="s">
        <v>44</v>
      </c>
      <c r="L177" s="35" t="s">
        <v>981</v>
      </c>
      <c r="M177" s="35" t="s">
        <v>45</v>
      </c>
      <c r="N177" s="35" t="s">
        <v>46</v>
      </c>
      <c r="O177" s="35" t="s">
        <v>138</v>
      </c>
      <c r="P177" s="35" t="s">
        <v>138</v>
      </c>
      <c r="Q177" s="35" t="s">
        <v>48</v>
      </c>
      <c r="R177" s="35" t="s">
        <v>140</v>
      </c>
      <c r="S177" s="36">
        <v>46150</v>
      </c>
      <c r="T177" s="36"/>
      <c r="U177" s="35" t="s">
        <v>141</v>
      </c>
      <c r="V177" s="35" t="s">
        <v>412</v>
      </c>
      <c r="W177" s="35" t="s">
        <v>441</v>
      </c>
      <c r="X177" s="36">
        <v>46177</v>
      </c>
      <c r="Y177" s="35" t="s">
        <v>413</v>
      </c>
      <c r="Z177" s="4">
        <f>IF(tblEnrollment[[#This Row],[Approved Date]]="",DATE(2026,6,3)-tblEnrollment[[#This Row],[Submitted Date]],tblEnrollment[[#This Row],[Approved Date]]-tblEnrollment[[#This Row],[Submitted Date]])</f>
        <v>26</v>
      </c>
      <c r="AA177" s="4" t="str">
        <f>IF(tblEnrollment[[#This Row],[Current Status]] ="Ready","Completed",IF(Z177&gt;21,"SLA Breached","Within SLA"))</f>
        <v>SLA Breached</v>
      </c>
      <c r="AB177" s="4" t="str">
        <f>IF(tblEnrollment[[#This Row],[Credentialed NPI]] =tblEnrollment[[#This Row],[Enrolled NPI]],"NPI Match","NPI Mismatch")</f>
        <v>NPI Mismatch</v>
      </c>
      <c r="AC177" s="4" t="str">
        <f>IF(OR(tblEnrollment[[#This Row],[Blocker Reason]] ="Individual NPI used instead of Group NPI",tblEnrollment[[#This Row],[Blocker Reason]] ="Credentialed NPI mismatch",tblEnrollment[[#This Row],[Blocker Reason]] ="Incorrect PTAN/Provider number"),"Yes","No")</f>
        <v>Yes</v>
      </c>
      <c r="AD177" s="4" t="str">
        <f>IF(OR(tblEnrollment[[#This Row],[Blocker Reason]] ="Wrong Payer ID",tblEnrollment[[#This Row],[Blocker Reason]] ="Old Payer ID used"),"Yes","No")</f>
        <v>No</v>
      </c>
      <c r="AE177" s="4" t="str">
        <f>IF(OR(tblEnrollment[[#This Row],[Clearinghouse Portal Updated]]="No",tblEnrollment[[#This Row],[Blocker Reason]] ="Clearinghouse portal not updated"),"Yes","No")</f>
        <v>No</v>
      </c>
      <c r="AF17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7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Status]]="Completed",AB177="NPI Match"),"Ready","Not Ready"),"Not Applicable")</f>
        <v>Not Ready</v>
      </c>
      <c r="AH177" s="4" t="str">
        <f>IF(OR(tblEnrollment[[#This Row],[Enrollment Type]]="ERA",tblEnrollment[[#This Row],[Enrollment Type]]="Claims and ERA"),IF(AND(tblEnrollment[[#This Row],[Credentialing Status]]="Completed",tblEnrollment[[#This Row],[ERA Enrollment Status]]="Approved",tblEnrollment[[#This Row],[Clearinghouse Configuration Status]]="Completed",AB177="NPI Match"),"Ready","Not Ready"),"Not Applicable")</f>
        <v>Not Ready</v>
      </c>
      <c r="AI177" s="4" t="str">
        <f>IF(tblEnrollment[[#This Row],[Blocker Reason]] ="No Blocker","No","Yes")</f>
        <v>Yes</v>
      </c>
    </row>
    <row r="178" spans="1:35" ht="29">
      <c r="A178" s="35" t="s">
        <v>982</v>
      </c>
      <c r="B178" s="35" t="s">
        <v>78</v>
      </c>
      <c r="C178" s="35" t="s">
        <v>983</v>
      </c>
      <c r="D178" s="35" t="s">
        <v>984</v>
      </c>
      <c r="E178" s="35" t="s">
        <v>405</v>
      </c>
      <c r="F178" s="35" t="s">
        <v>405</v>
      </c>
      <c r="G178" s="35" t="s">
        <v>405</v>
      </c>
      <c r="H178" s="35" t="s">
        <v>120</v>
      </c>
      <c r="I178" s="35" t="s">
        <v>51</v>
      </c>
      <c r="J178" s="35" t="s">
        <v>611</v>
      </c>
      <c r="K178" s="35" t="s">
        <v>53</v>
      </c>
      <c r="L178" s="35" t="s">
        <v>54</v>
      </c>
      <c r="M178" s="35" t="s">
        <v>45</v>
      </c>
      <c r="N178" s="35" t="s">
        <v>46</v>
      </c>
      <c r="O178" s="35" t="s">
        <v>138</v>
      </c>
      <c r="P178" s="35" t="s">
        <v>138</v>
      </c>
      <c r="Q178" s="35" t="s">
        <v>48</v>
      </c>
      <c r="R178" s="35" t="s">
        <v>140</v>
      </c>
      <c r="S178" s="36">
        <v>46129</v>
      </c>
      <c r="T178" s="36"/>
      <c r="U178" s="35" t="s">
        <v>141</v>
      </c>
      <c r="V178" s="35" t="s">
        <v>435</v>
      </c>
      <c r="W178" s="35" t="s">
        <v>365</v>
      </c>
      <c r="X178" s="36">
        <v>46184</v>
      </c>
      <c r="Y178" s="35" t="s">
        <v>436</v>
      </c>
      <c r="Z178" s="4">
        <f>IF(tblEnrollment[[#This Row],[Approved Date]]="",DATE(2026,6,3)-tblEnrollment[[#This Row],[Submitted Date]],tblEnrollment[[#This Row],[Approved Date]]-tblEnrollment[[#This Row],[Submitted Date]])</f>
        <v>47</v>
      </c>
      <c r="AA178" s="4" t="str">
        <f>IF(tblEnrollment[[#This Row],[Current Status]] ="Ready","Completed",IF(Z178&gt;21,"SLA Breached","Within SLA"))</f>
        <v>SLA Breached</v>
      </c>
      <c r="AB178" s="4" t="str">
        <f>IF(tblEnrollment[[#This Row],[Credentialed NPI]] =tblEnrollment[[#This Row],[Enrolled NPI]],"NPI Match","NPI Mismatch")</f>
        <v>NPI Match</v>
      </c>
      <c r="AC178" s="4" t="str">
        <f>IF(OR(tblEnrollment[[#This Row],[Blocker Reason]] ="Individual NPI used instead of Group NPI",tblEnrollment[[#This Row],[Blocker Reason]] ="Credentialed NPI mismatch",tblEnrollment[[#This Row],[Blocker Reason]] ="Incorrect PTAN/Provider number"),"Yes","No")</f>
        <v>No</v>
      </c>
      <c r="AD178" s="4" t="str">
        <f>IF(OR(tblEnrollment[[#This Row],[Blocker Reason]] ="Wrong Payer ID",tblEnrollment[[#This Row],[Blocker Reason]] ="Old Payer ID used"),"Yes","No")</f>
        <v>Yes</v>
      </c>
      <c r="AE178" s="4" t="str">
        <f>IF(OR(tblEnrollment[[#This Row],[Clearinghouse Portal Updated]]="No",tblEnrollment[[#This Row],[Blocker Reason]] ="Clearinghouse portal not updated"),"Yes","No")</f>
        <v>No</v>
      </c>
      <c r="AF17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7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Status]]="Completed",AB178="NPI Match"),"Ready","Not Ready"),"Not Applicable")</f>
        <v>Not Ready</v>
      </c>
      <c r="AH178" s="4" t="str">
        <f>IF(OR(tblEnrollment[[#This Row],[Enrollment Type]]="ERA",tblEnrollment[[#This Row],[Enrollment Type]]="Claims and ERA"),IF(AND(tblEnrollment[[#This Row],[Credentialing Status]]="Completed",tblEnrollment[[#This Row],[ERA Enrollment Status]]="Approved",tblEnrollment[[#This Row],[Clearinghouse Configuration Status]]="Completed",AB178="NPI Match"),"Ready","Not Ready"),"Not Applicable")</f>
        <v>Not Ready</v>
      </c>
      <c r="AI178" s="4" t="str">
        <f>IF(tblEnrollment[[#This Row],[Blocker Reason]] ="No Blocker","No","Yes")</f>
        <v>Yes</v>
      </c>
    </row>
    <row r="179" spans="1:35" ht="29">
      <c r="A179" s="35" t="s">
        <v>985</v>
      </c>
      <c r="B179" s="35" t="s">
        <v>63</v>
      </c>
      <c r="C179" s="35" t="s">
        <v>986</v>
      </c>
      <c r="D179" s="35" t="s">
        <v>987</v>
      </c>
      <c r="E179" s="35" t="s">
        <v>381</v>
      </c>
      <c r="F179" s="35" t="s">
        <v>381</v>
      </c>
      <c r="G179" s="35" t="s">
        <v>381</v>
      </c>
      <c r="H179" s="35" t="s">
        <v>113</v>
      </c>
      <c r="I179" s="35" t="s">
        <v>43</v>
      </c>
      <c r="J179" s="35" t="s">
        <v>357</v>
      </c>
      <c r="K179" s="35" t="s">
        <v>44</v>
      </c>
      <c r="L179" s="35" t="s">
        <v>135</v>
      </c>
      <c r="M179" s="35" t="s">
        <v>136</v>
      </c>
      <c r="N179" s="35" t="s">
        <v>46</v>
      </c>
      <c r="O179" s="35" t="s">
        <v>139</v>
      </c>
      <c r="P179" s="35" t="s">
        <v>138</v>
      </c>
      <c r="Q179" s="35" t="s">
        <v>48</v>
      </c>
      <c r="R179" s="35" t="s">
        <v>140</v>
      </c>
      <c r="S179" s="36">
        <v>46070</v>
      </c>
      <c r="T179" s="36"/>
      <c r="U179" s="35" t="s">
        <v>141</v>
      </c>
      <c r="V179" s="35" t="s">
        <v>377</v>
      </c>
      <c r="W179" s="35" t="s">
        <v>330</v>
      </c>
      <c r="X179" s="36">
        <v>46185</v>
      </c>
      <c r="Y179" s="35" t="s">
        <v>378</v>
      </c>
      <c r="Z179" s="4">
        <f>IF(tblEnrollment[[#This Row],[Approved Date]]="",DATE(2026,6,3)-tblEnrollment[[#This Row],[Submitted Date]],tblEnrollment[[#This Row],[Approved Date]]-tblEnrollment[[#This Row],[Submitted Date]])</f>
        <v>106</v>
      </c>
      <c r="AA179" s="4" t="str">
        <f>IF(tblEnrollment[[#This Row],[Current Status]] ="Ready","Completed",IF(Z179&gt;21,"SLA Breached","Within SLA"))</f>
        <v>SLA Breached</v>
      </c>
      <c r="AB179" s="4" t="str">
        <f>IF(tblEnrollment[[#This Row],[Credentialed NPI]] =tblEnrollment[[#This Row],[Enrolled NPI]],"NPI Match","NPI Mismatch")</f>
        <v>NPI Match</v>
      </c>
      <c r="AC179" s="4" t="str">
        <f>IF(OR(tblEnrollment[[#This Row],[Blocker Reason]] ="Individual NPI used instead of Group NPI",tblEnrollment[[#This Row],[Blocker Reason]] ="Credentialed NPI mismatch",tblEnrollment[[#This Row],[Blocker Reason]] ="Incorrect PTAN/Provider number"),"Yes","No")</f>
        <v>Yes</v>
      </c>
      <c r="AD179" s="4" t="str">
        <f>IF(OR(tblEnrollment[[#This Row],[Blocker Reason]] ="Wrong Payer ID",tblEnrollment[[#This Row],[Blocker Reason]] ="Old Payer ID used"),"Yes","No")</f>
        <v>No</v>
      </c>
      <c r="AE179" s="4" t="str">
        <f>IF(OR(tblEnrollment[[#This Row],[Clearinghouse Portal Updated]]="No",tblEnrollment[[#This Row],[Blocker Reason]] ="Clearinghouse portal not updated"),"Yes","No")</f>
        <v>No</v>
      </c>
      <c r="AF17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Yes</v>
      </c>
      <c r="AG17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Status]]="Completed",AB179="NPI Match"),"Ready","Not Ready"),"Not Applicable")</f>
        <v>Not Applicable</v>
      </c>
      <c r="AH179" s="4" t="str">
        <f>IF(OR(tblEnrollment[[#This Row],[Enrollment Type]]="ERA",tblEnrollment[[#This Row],[Enrollment Type]]="Claims and ERA"),IF(AND(tblEnrollment[[#This Row],[Credentialing Status]]="Completed",tblEnrollment[[#This Row],[ERA Enrollment Status]]="Approved",tblEnrollment[[#This Row],[Clearinghouse Configuration Status]]="Completed",AB179="NPI Match"),"Ready","Not Ready"),"Not Applicable")</f>
        <v>Not Ready</v>
      </c>
      <c r="AI179" s="4" t="str">
        <f>IF(tblEnrollment[[#This Row],[Blocker Reason]] ="No Blocker","No","Yes")</f>
        <v>Yes</v>
      </c>
    </row>
    <row r="180" spans="1:35" ht="29">
      <c r="A180" s="35" t="s">
        <v>988</v>
      </c>
      <c r="B180" s="35" t="s">
        <v>66</v>
      </c>
      <c r="C180" s="35" t="s">
        <v>621</v>
      </c>
      <c r="D180" s="35" t="s">
        <v>989</v>
      </c>
      <c r="E180" s="35" t="s">
        <v>529</v>
      </c>
      <c r="F180" s="35" t="s">
        <v>529</v>
      </c>
      <c r="G180" s="35" t="s">
        <v>989</v>
      </c>
      <c r="H180" s="35" t="s">
        <v>114</v>
      </c>
      <c r="I180" s="35" t="s">
        <v>346</v>
      </c>
      <c r="J180" s="35" t="s">
        <v>347</v>
      </c>
      <c r="K180" s="35" t="s">
        <v>53</v>
      </c>
      <c r="L180" s="35" t="s">
        <v>54</v>
      </c>
      <c r="M180" s="35" t="s">
        <v>136</v>
      </c>
      <c r="N180" s="35" t="s">
        <v>46</v>
      </c>
      <c r="O180" s="35" t="s">
        <v>139</v>
      </c>
      <c r="P180" s="35" t="s">
        <v>138</v>
      </c>
      <c r="Q180" s="35" t="s">
        <v>48</v>
      </c>
      <c r="R180" s="35" t="s">
        <v>140</v>
      </c>
      <c r="S180" s="36">
        <v>46055</v>
      </c>
      <c r="T180" s="36"/>
      <c r="U180" s="35" t="s">
        <v>141</v>
      </c>
      <c r="V180" s="35" t="s">
        <v>412</v>
      </c>
      <c r="W180" s="35" t="s">
        <v>441</v>
      </c>
      <c r="X180" s="36">
        <v>46178</v>
      </c>
      <c r="Y180" s="35" t="s">
        <v>413</v>
      </c>
      <c r="Z180" s="4">
        <f>IF(tblEnrollment[[#This Row],[Approved Date]]="",DATE(2026,6,3)-tblEnrollment[[#This Row],[Submitted Date]],tblEnrollment[[#This Row],[Approved Date]]-tblEnrollment[[#This Row],[Submitted Date]])</f>
        <v>121</v>
      </c>
      <c r="AA180" s="4" t="str">
        <f>IF(tblEnrollment[[#This Row],[Current Status]] ="Ready","Completed",IF(Z180&gt;21,"SLA Breached","Within SLA"))</f>
        <v>SLA Breached</v>
      </c>
      <c r="AB180" s="4" t="str">
        <f>IF(tblEnrollment[[#This Row],[Credentialed NPI]] =tblEnrollment[[#This Row],[Enrolled NPI]],"NPI Match","NPI Mismatch")</f>
        <v>NPI Mismatch</v>
      </c>
      <c r="AC180" s="4" t="str">
        <f>IF(OR(tblEnrollment[[#This Row],[Blocker Reason]] ="Individual NPI used instead of Group NPI",tblEnrollment[[#This Row],[Blocker Reason]] ="Credentialed NPI mismatch",tblEnrollment[[#This Row],[Blocker Reason]] ="Incorrect PTAN/Provider number"),"Yes","No")</f>
        <v>Yes</v>
      </c>
      <c r="AD180" s="4" t="str">
        <f>IF(OR(tblEnrollment[[#This Row],[Blocker Reason]] ="Wrong Payer ID",tblEnrollment[[#This Row],[Blocker Reason]] ="Old Payer ID used"),"Yes","No")</f>
        <v>No</v>
      </c>
      <c r="AE180" s="4" t="str">
        <f>IF(OR(tblEnrollment[[#This Row],[Clearinghouse Portal Updated]]="No",tblEnrollment[[#This Row],[Blocker Reason]] ="Clearinghouse portal not updated"),"Yes","No")</f>
        <v>No</v>
      </c>
      <c r="AF18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8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Status]]="Completed",AB180="NPI Match"),"Ready","Not Ready"),"Not Applicable")</f>
        <v>Not Applicable</v>
      </c>
      <c r="AH180" s="4" t="str">
        <f>IF(OR(tblEnrollment[[#This Row],[Enrollment Type]]="ERA",tblEnrollment[[#This Row],[Enrollment Type]]="Claims and ERA"),IF(AND(tblEnrollment[[#This Row],[Credentialing Status]]="Completed",tblEnrollment[[#This Row],[ERA Enrollment Status]]="Approved",tblEnrollment[[#This Row],[Clearinghouse Configuration Status]]="Completed",AB180="NPI Match"),"Ready","Not Ready"),"Not Applicable")</f>
        <v>Not Ready</v>
      </c>
      <c r="AI180" s="4" t="str">
        <f>IF(tblEnrollment[[#This Row],[Blocker Reason]] ="No Blocker","No","Yes")</f>
        <v>Yes</v>
      </c>
    </row>
    <row r="181" spans="1:35" ht="29">
      <c r="A181" s="35" t="s">
        <v>990</v>
      </c>
      <c r="B181" s="35" t="s">
        <v>70</v>
      </c>
      <c r="C181" s="35" t="s">
        <v>991</v>
      </c>
      <c r="D181" s="35" t="s">
        <v>992</v>
      </c>
      <c r="E181" s="35" t="s">
        <v>826</v>
      </c>
      <c r="F181" s="35" t="s">
        <v>826</v>
      </c>
      <c r="G181" s="35" t="s">
        <v>826</v>
      </c>
      <c r="H181" s="35" t="s">
        <v>112</v>
      </c>
      <c r="I181" s="35" t="s">
        <v>51</v>
      </c>
      <c r="J181" s="35" t="s">
        <v>611</v>
      </c>
      <c r="K181" s="35" t="s">
        <v>53</v>
      </c>
      <c r="L181" s="35" t="s">
        <v>54</v>
      </c>
      <c r="M181" s="35" t="s">
        <v>55</v>
      </c>
      <c r="N181" s="35" t="s">
        <v>46</v>
      </c>
      <c r="O181" s="35" t="s">
        <v>138</v>
      </c>
      <c r="P181" s="35" t="s">
        <v>139</v>
      </c>
      <c r="Q181" s="35" t="s">
        <v>48</v>
      </c>
      <c r="R181" s="35" t="s">
        <v>140</v>
      </c>
      <c r="S181" s="36">
        <v>46070</v>
      </c>
      <c r="T181" s="36"/>
      <c r="U181" s="35" t="s">
        <v>141</v>
      </c>
      <c r="V181" s="35" t="s">
        <v>435</v>
      </c>
      <c r="W181" s="35" t="s">
        <v>338</v>
      </c>
      <c r="X181" s="36">
        <v>46182</v>
      </c>
      <c r="Y181" s="35" t="s">
        <v>436</v>
      </c>
      <c r="Z181" s="4">
        <f>IF(tblEnrollment[[#This Row],[Approved Date]]="",DATE(2026,6,3)-tblEnrollment[[#This Row],[Submitted Date]],tblEnrollment[[#This Row],[Approved Date]]-tblEnrollment[[#This Row],[Submitted Date]])</f>
        <v>106</v>
      </c>
      <c r="AA181" s="4" t="str">
        <f>IF(tblEnrollment[[#This Row],[Current Status]] ="Ready","Completed",IF(Z181&gt;21,"SLA Breached","Within SLA"))</f>
        <v>SLA Breached</v>
      </c>
      <c r="AB181" s="4" t="str">
        <f>IF(tblEnrollment[[#This Row],[Credentialed NPI]] =tblEnrollment[[#This Row],[Enrolled NPI]],"NPI Match","NPI Mismatch")</f>
        <v>NPI Match</v>
      </c>
      <c r="AC181" s="4" t="str">
        <f>IF(OR(tblEnrollment[[#This Row],[Blocker Reason]] ="Individual NPI used instead of Group NPI",tblEnrollment[[#This Row],[Blocker Reason]] ="Credentialed NPI mismatch",tblEnrollment[[#This Row],[Blocker Reason]] ="Incorrect PTAN/Provider number"),"Yes","No")</f>
        <v>No</v>
      </c>
      <c r="AD181" s="4" t="str">
        <f>IF(OR(tblEnrollment[[#This Row],[Blocker Reason]] ="Wrong Payer ID",tblEnrollment[[#This Row],[Blocker Reason]] ="Old Payer ID used"),"Yes","No")</f>
        <v>Yes</v>
      </c>
      <c r="AE181" s="4" t="str">
        <f>IF(OR(tblEnrollment[[#This Row],[Clearinghouse Portal Updated]]="No",tblEnrollment[[#This Row],[Blocker Reason]] ="Clearinghouse portal not updated"),"Yes","No")</f>
        <v>No</v>
      </c>
      <c r="AF18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8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Status]]="Completed",AB181="NPI Match"),"Ready","Not Ready"),"Not Applicable")</f>
        <v>Not Ready</v>
      </c>
      <c r="AH181" s="4" t="str">
        <f>IF(OR(tblEnrollment[[#This Row],[Enrollment Type]]="ERA",tblEnrollment[[#This Row],[Enrollment Type]]="Claims and ERA"),IF(AND(tblEnrollment[[#This Row],[Credentialing Status]]="Completed",tblEnrollment[[#This Row],[ERA Enrollment Status]]="Approved",tblEnrollment[[#This Row],[Clearinghouse Configuration Status]]="Completed",AB181="NPI Match"),"Ready","Not Ready"),"Not Applicable")</f>
        <v>Not Applicable</v>
      </c>
      <c r="AI181" s="4" t="str">
        <f>IF(tblEnrollment[[#This Row],[Blocker Reason]] ="No Blocker","No","Yes")</f>
        <v>Yes</v>
      </c>
    </row>
    <row r="182" spans="1:35" ht="29">
      <c r="A182" s="35" t="s">
        <v>993</v>
      </c>
      <c r="B182" s="35" t="s">
        <v>403</v>
      </c>
      <c r="C182" s="35" t="s">
        <v>994</v>
      </c>
      <c r="D182" s="35" t="s">
        <v>995</v>
      </c>
      <c r="E182" s="35" t="s">
        <v>91</v>
      </c>
      <c r="F182" s="35" t="s">
        <v>91</v>
      </c>
      <c r="G182" s="35" t="s">
        <v>91</v>
      </c>
      <c r="H182" s="35" t="s">
        <v>465</v>
      </c>
      <c r="I182" s="35" t="s">
        <v>51</v>
      </c>
      <c r="J182" s="35" t="s">
        <v>52</v>
      </c>
      <c r="K182" s="35" t="s">
        <v>53</v>
      </c>
      <c r="L182" s="35" t="s">
        <v>54</v>
      </c>
      <c r="M182" s="35" t="s">
        <v>55</v>
      </c>
      <c r="N182" s="35" t="s">
        <v>46</v>
      </c>
      <c r="O182" s="35" t="s">
        <v>47</v>
      </c>
      <c r="P182" s="35" t="s">
        <v>139</v>
      </c>
      <c r="Q182" s="35" t="s">
        <v>58</v>
      </c>
      <c r="R182" s="35" t="s">
        <v>56</v>
      </c>
      <c r="S182" s="36">
        <v>46094</v>
      </c>
      <c r="T182" s="36"/>
      <c r="U182" s="35" t="s">
        <v>56</v>
      </c>
      <c r="V182" s="35" t="s">
        <v>143</v>
      </c>
      <c r="W182" s="35" t="s">
        <v>338</v>
      </c>
      <c r="X182" s="36">
        <v>46181</v>
      </c>
      <c r="Y182" s="35" t="s">
        <v>343</v>
      </c>
      <c r="Z182" s="4">
        <f>IF(tblEnrollment[[#This Row],[Approved Date]]="",DATE(2026,6,3)-tblEnrollment[[#This Row],[Submitted Date]],tblEnrollment[[#This Row],[Approved Date]]-tblEnrollment[[#This Row],[Submitted Date]])</f>
        <v>82</v>
      </c>
      <c r="AA182" s="4" t="str">
        <f>IF(tblEnrollment[[#This Row],[Current Status]] ="Ready","Completed",IF(Z182&gt;21,"SLA Breached","Within SLA"))</f>
        <v>SLA Breached</v>
      </c>
      <c r="AB182" s="4" t="str">
        <f>IF(tblEnrollment[[#This Row],[Credentialed NPI]] =tblEnrollment[[#This Row],[Enrolled NPI]],"NPI Match","NPI Mismatch")</f>
        <v>NPI Match</v>
      </c>
      <c r="AC182" s="4" t="str">
        <f>IF(OR(tblEnrollment[[#This Row],[Blocker Reason]] ="Individual NPI used instead of Group NPI",tblEnrollment[[#This Row],[Blocker Reason]] ="Credentialed NPI mismatch",tblEnrollment[[#This Row],[Blocker Reason]] ="Incorrect PTAN/Provider number"),"Yes","No")</f>
        <v>No</v>
      </c>
      <c r="AD182" s="4" t="str">
        <f>IF(OR(tblEnrollment[[#This Row],[Blocker Reason]] ="Wrong Payer ID",tblEnrollment[[#This Row],[Blocker Reason]] ="Old Payer ID used"),"Yes","No")</f>
        <v>No</v>
      </c>
      <c r="AE182" s="4" t="str">
        <f>IF(OR(tblEnrollment[[#This Row],[Clearinghouse Portal Updated]]="No",tblEnrollment[[#This Row],[Blocker Reason]] ="Clearinghouse portal not updated"),"Yes","No")</f>
        <v>Yes</v>
      </c>
      <c r="AF18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8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Status]]="Completed",AB182="NPI Match"),"Ready","Not Ready"),"Not Applicable")</f>
        <v>Not Ready</v>
      </c>
      <c r="AH182" s="4" t="str">
        <f>IF(OR(tblEnrollment[[#This Row],[Enrollment Type]]="ERA",tblEnrollment[[#This Row],[Enrollment Type]]="Claims and ERA"),IF(AND(tblEnrollment[[#This Row],[Credentialing Status]]="Completed",tblEnrollment[[#This Row],[ERA Enrollment Status]]="Approved",tblEnrollment[[#This Row],[Clearinghouse Configuration Status]]="Completed",AB182="NPI Match"),"Ready","Not Ready"),"Not Applicable")</f>
        <v>Not Applicable</v>
      </c>
      <c r="AI182" s="4" t="str">
        <f>IF(tblEnrollment[[#This Row],[Blocker Reason]] ="No Blocker","No","Yes")</f>
        <v>Yes</v>
      </c>
    </row>
    <row r="183" spans="1:35" ht="29">
      <c r="A183" s="35" t="s">
        <v>996</v>
      </c>
      <c r="B183" s="35" t="s">
        <v>395</v>
      </c>
      <c r="C183" s="35" t="s">
        <v>997</v>
      </c>
      <c r="D183" s="35" t="s">
        <v>998</v>
      </c>
      <c r="E183" s="35" t="s">
        <v>94</v>
      </c>
      <c r="F183" s="35" t="s">
        <v>94</v>
      </c>
      <c r="G183" s="35" t="s">
        <v>94</v>
      </c>
      <c r="H183" s="35" t="s">
        <v>696</v>
      </c>
      <c r="I183" s="35" t="s">
        <v>131</v>
      </c>
      <c r="J183" s="35" t="s">
        <v>342</v>
      </c>
      <c r="K183" s="35" t="s">
        <v>53</v>
      </c>
      <c r="L183" s="35" t="s">
        <v>54</v>
      </c>
      <c r="M183" s="35" t="s">
        <v>45</v>
      </c>
      <c r="N183" s="35" t="s">
        <v>46</v>
      </c>
      <c r="O183" s="35" t="s">
        <v>47</v>
      </c>
      <c r="P183" s="35" t="s">
        <v>47</v>
      </c>
      <c r="Q183" s="35" t="s">
        <v>48</v>
      </c>
      <c r="R183" s="35" t="s">
        <v>46</v>
      </c>
      <c r="S183" s="36">
        <v>46114</v>
      </c>
      <c r="T183" s="36">
        <v>46130</v>
      </c>
      <c r="U183" s="35" t="s">
        <v>49</v>
      </c>
      <c r="V183" s="35" t="s">
        <v>348</v>
      </c>
      <c r="W183" s="35" t="s">
        <v>330</v>
      </c>
      <c r="X183" s="36">
        <v>46184</v>
      </c>
      <c r="Y183" s="35" t="s">
        <v>350</v>
      </c>
      <c r="Z183" s="4">
        <f>IF(tblEnrollment[[#This Row],[Approved Date]]="",DATE(2026,6,3)-tblEnrollment[[#This Row],[Submitted Date]],tblEnrollment[[#This Row],[Approved Date]]-tblEnrollment[[#This Row],[Submitted Date]])</f>
        <v>16</v>
      </c>
      <c r="AA183" s="4" t="str">
        <f>IF(tblEnrollment[[#This Row],[Current Status]] ="Ready","Completed",IF(Z183&gt;21,"SLA Breached","Within SLA"))</f>
        <v>Completed</v>
      </c>
      <c r="AB183" s="4" t="str">
        <f>IF(tblEnrollment[[#This Row],[Credentialed NPI]] =tblEnrollment[[#This Row],[Enrolled NPI]],"NPI Match","NPI Mismatch")</f>
        <v>NPI Match</v>
      </c>
      <c r="AC183" s="4" t="str">
        <f>IF(OR(tblEnrollment[[#This Row],[Blocker Reason]] ="Individual NPI used instead of Group NPI",tblEnrollment[[#This Row],[Blocker Reason]] ="Credentialed NPI mismatch",tblEnrollment[[#This Row],[Blocker Reason]] ="Incorrect PTAN/Provider number"),"Yes","No")</f>
        <v>No</v>
      </c>
      <c r="AD183" s="4" t="str">
        <f>IF(OR(tblEnrollment[[#This Row],[Blocker Reason]] ="Wrong Payer ID",tblEnrollment[[#This Row],[Blocker Reason]] ="Old Payer ID used"),"Yes","No")</f>
        <v>No</v>
      </c>
      <c r="AE183" s="4" t="str">
        <f>IF(OR(tblEnrollment[[#This Row],[Clearinghouse Portal Updated]]="No",tblEnrollment[[#This Row],[Blocker Reason]] ="Clearinghouse portal not updated"),"Yes","No")</f>
        <v>No</v>
      </c>
      <c r="AF18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8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Status]]="Completed",AB183="NPI Match"),"Ready","Not Ready"),"Not Applicable")</f>
        <v>Ready</v>
      </c>
      <c r="AH183" s="4" t="str">
        <f>IF(OR(tblEnrollment[[#This Row],[Enrollment Type]]="ERA",tblEnrollment[[#This Row],[Enrollment Type]]="Claims and ERA"),IF(AND(tblEnrollment[[#This Row],[Credentialing Status]]="Completed",tblEnrollment[[#This Row],[ERA Enrollment Status]]="Approved",tblEnrollment[[#This Row],[Clearinghouse Configuration Status]]="Completed",AB183="NPI Match"),"Ready","Not Ready"),"Not Applicable")</f>
        <v>Ready</v>
      </c>
      <c r="AI183" s="4" t="str">
        <f>IF(tblEnrollment[[#This Row],[Blocker Reason]] ="No Blocker","No","Yes")</f>
        <v>No</v>
      </c>
    </row>
    <row r="184" spans="1:35" ht="29">
      <c r="A184" s="35" t="s">
        <v>999</v>
      </c>
      <c r="B184" s="35" t="s">
        <v>76</v>
      </c>
      <c r="C184" s="35" t="s">
        <v>1000</v>
      </c>
      <c r="D184" s="35" t="s">
        <v>1001</v>
      </c>
      <c r="E184" s="35" t="s">
        <v>506</v>
      </c>
      <c r="F184" s="35" t="s">
        <v>506</v>
      </c>
      <c r="G184" s="35" t="s">
        <v>506</v>
      </c>
      <c r="H184" s="35" t="s">
        <v>108</v>
      </c>
      <c r="I184" s="35" t="s">
        <v>129</v>
      </c>
      <c r="J184" s="35" t="s">
        <v>134</v>
      </c>
      <c r="K184" s="35" t="s">
        <v>44</v>
      </c>
      <c r="L184" s="35" t="s">
        <v>1002</v>
      </c>
      <c r="M184" s="35" t="s">
        <v>55</v>
      </c>
      <c r="N184" s="35" t="s">
        <v>137</v>
      </c>
      <c r="O184" s="35" t="s">
        <v>57</v>
      </c>
      <c r="P184" s="35" t="s">
        <v>139</v>
      </c>
      <c r="Q184" s="35" t="s">
        <v>58</v>
      </c>
      <c r="R184" s="35" t="s">
        <v>57</v>
      </c>
      <c r="S184" s="36">
        <v>46123</v>
      </c>
      <c r="T184" s="36"/>
      <c r="U184" s="35" t="s">
        <v>56</v>
      </c>
      <c r="V184" s="35" t="s">
        <v>147</v>
      </c>
      <c r="W184" s="35" t="s">
        <v>330</v>
      </c>
      <c r="X184" s="36">
        <v>46185</v>
      </c>
      <c r="Y184" s="35" t="s">
        <v>406</v>
      </c>
      <c r="Z184" s="4">
        <f>IF(tblEnrollment[[#This Row],[Approved Date]]="",DATE(2026,6,3)-tblEnrollment[[#This Row],[Submitted Date]],tblEnrollment[[#This Row],[Approved Date]]-tblEnrollment[[#This Row],[Submitted Date]])</f>
        <v>53</v>
      </c>
      <c r="AA184" s="4" t="str">
        <f>IF(tblEnrollment[[#This Row],[Current Status]] ="Ready","Completed",IF(Z184&gt;21,"SLA Breached","Within SLA"))</f>
        <v>SLA Breached</v>
      </c>
      <c r="AB184" s="4" t="str">
        <f>IF(tblEnrollment[[#This Row],[Credentialed NPI]] =tblEnrollment[[#This Row],[Enrolled NPI]],"NPI Match","NPI Mismatch")</f>
        <v>NPI Match</v>
      </c>
      <c r="AC184" s="4" t="str">
        <f>IF(OR(tblEnrollment[[#This Row],[Blocker Reason]] ="Individual NPI used instead of Group NPI",tblEnrollment[[#This Row],[Blocker Reason]] ="Credentialed NPI mismatch",tblEnrollment[[#This Row],[Blocker Reason]] ="Incorrect PTAN/Provider number"),"Yes","No")</f>
        <v>No</v>
      </c>
      <c r="AD184" s="4" t="str">
        <f>IF(OR(tblEnrollment[[#This Row],[Blocker Reason]] ="Wrong Payer ID",tblEnrollment[[#This Row],[Blocker Reason]] ="Old Payer ID used"),"Yes","No")</f>
        <v>No</v>
      </c>
      <c r="AE184" s="4" t="str">
        <f>IF(OR(tblEnrollment[[#This Row],[Clearinghouse Portal Updated]]="No",tblEnrollment[[#This Row],[Blocker Reason]] ="Clearinghouse portal not updated"),"Yes","No")</f>
        <v>Yes</v>
      </c>
      <c r="AF18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8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Status]]="Completed",AB184="NPI Match"),"Ready","Not Ready"),"Not Applicable")</f>
        <v>Not Ready</v>
      </c>
      <c r="AH184" s="4" t="str">
        <f>IF(OR(tblEnrollment[[#This Row],[Enrollment Type]]="ERA",tblEnrollment[[#This Row],[Enrollment Type]]="Claims and ERA"),IF(AND(tblEnrollment[[#This Row],[Credentialing Status]]="Completed",tblEnrollment[[#This Row],[ERA Enrollment Status]]="Approved",tblEnrollment[[#This Row],[Clearinghouse Configuration Status]]="Completed",AB184="NPI Match"),"Ready","Not Ready"),"Not Applicable")</f>
        <v>Not Applicable</v>
      </c>
      <c r="AI184" s="4" t="str">
        <f>IF(tblEnrollment[[#This Row],[Blocker Reason]] ="No Blocker","No","Yes")</f>
        <v>Yes</v>
      </c>
    </row>
    <row r="185" spans="1:35" ht="29">
      <c r="A185" s="35" t="s">
        <v>1003</v>
      </c>
      <c r="B185" s="35" t="s">
        <v>60</v>
      </c>
      <c r="C185" s="35" t="s">
        <v>1004</v>
      </c>
      <c r="D185" s="35" t="s">
        <v>1005</v>
      </c>
      <c r="E185" s="35" t="s">
        <v>422</v>
      </c>
      <c r="F185" s="35" t="s">
        <v>422</v>
      </c>
      <c r="G185" s="35" t="s">
        <v>422</v>
      </c>
      <c r="H185" s="35" t="s">
        <v>619</v>
      </c>
      <c r="I185" s="35" t="s">
        <v>51</v>
      </c>
      <c r="J185" s="35" t="s">
        <v>1006</v>
      </c>
      <c r="K185" s="35" t="s">
        <v>53</v>
      </c>
      <c r="L185" s="35" t="s">
        <v>54</v>
      </c>
      <c r="M185" s="35" t="s">
        <v>45</v>
      </c>
      <c r="N185" s="35" t="s">
        <v>46</v>
      </c>
      <c r="O185" s="35" t="s">
        <v>138</v>
      </c>
      <c r="P185" s="35" t="s">
        <v>138</v>
      </c>
      <c r="Q185" s="35" t="s">
        <v>48</v>
      </c>
      <c r="R185" s="35" t="s">
        <v>140</v>
      </c>
      <c r="S185" s="36">
        <v>46044</v>
      </c>
      <c r="T185" s="36"/>
      <c r="U185" s="35" t="s">
        <v>141</v>
      </c>
      <c r="V185" s="35" t="s">
        <v>329</v>
      </c>
      <c r="W185" s="35" t="s">
        <v>338</v>
      </c>
      <c r="X185" s="36">
        <v>46183</v>
      </c>
      <c r="Y185" s="35" t="s">
        <v>331</v>
      </c>
      <c r="Z185" s="4">
        <f>IF(tblEnrollment[[#This Row],[Approved Date]]="",DATE(2026,6,3)-tblEnrollment[[#This Row],[Submitted Date]],tblEnrollment[[#This Row],[Approved Date]]-tblEnrollment[[#This Row],[Submitted Date]])</f>
        <v>132</v>
      </c>
      <c r="AA185" s="4" t="str">
        <f>IF(tblEnrollment[[#This Row],[Current Status]] ="Ready","Completed",IF(Z185&gt;21,"SLA Breached","Within SLA"))</f>
        <v>SLA Breached</v>
      </c>
      <c r="AB185" s="4" t="str">
        <f>IF(tblEnrollment[[#This Row],[Credentialed NPI]] =tblEnrollment[[#This Row],[Enrolled NPI]],"NPI Match","NPI Mismatch")</f>
        <v>NPI Match</v>
      </c>
      <c r="AC185" s="4" t="str">
        <f>IF(OR(tblEnrollment[[#This Row],[Blocker Reason]] ="Individual NPI used instead of Group NPI",tblEnrollment[[#This Row],[Blocker Reason]] ="Credentialed NPI mismatch",tblEnrollment[[#This Row],[Blocker Reason]] ="Incorrect PTAN/Provider number"),"Yes","No")</f>
        <v>No</v>
      </c>
      <c r="AD185" s="4" t="str">
        <f>IF(OR(tblEnrollment[[#This Row],[Blocker Reason]] ="Wrong Payer ID",tblEnrollment[[#This Row],[Blocker Reason]] ="Old Payer ID used"),"Yes","No")</f>
        <v>Yes</v>
      </c>
      <c r="AE185" s="4" t="str">
        <f>IF(OR(tblEnrollment[[#This Row],[Clearinghouse Portal Updated]]="No",tblEnrollment[[#This Row],[Blocker Reason]] ="Clearinghouse portal not updated"),"Yes","No")</f>
        <v>No</v>
      </c>
      <c r="AF18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8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Status]]="Completed",AB185="NPI Match"),"Ready","Not Ready"),"Not Applicable")</f>
        <v>Not Ready</v>
      </c>
      <c r="AH185" s="4" t="str">
        <f>IF(OR(tblEnrollment[[#This Row],[Enrollment Type]]="ERA",tblEnrollment[[#This Row],[Enrollment Type]]="Claims and ERA"),IF(AND(tblEnrollment[[#This Row],[Credentialing Status]]="Completed",tblEnrollment[[#This Row],[ERA Enrollment Status]]="Approved",tblEnrollment[[#This Row],[Clearinghouse Configuration Status]]="Completed",AB185="NPI Match"),"Ready","Not Ready"),"Not Applicable")</f>
        <v>Not Ready</v>
      </c>
      <c r="AI185" s="4" t="str">
        <f>IF(tblEnrollment[[#This Row],[Blocker Reason]] ="No Blocker","No","Yes")</f>
        <v>Yes</v>
      </c>
    </row>
    <row r="186" spans="1:35" ht="29">
      <c r="A186" s="35" t="s">
        <v>1007</v>
      </c>
      <c r="B186" s="35" t="s">
        <v>76</v>
      </c>
      <c r="C186" s="35" t="s">
        <v>1008</v>
      </c>
      <c r="D186" s="35" t="s">
        <v>1009</v>
      </c>
      <c r="E186" s="35" t="s">
        <v>97</v>
      </c>
      <c r="F186" s="35" t="s">
        <v>97</v>
      </c>
      <c r="G186" s="35" t="s">
        <v>1009</v>
      </c>
      <c r="H186" s="35" t="s">
        <v>125</v>
      </c>
      <c r="I186" s="35" t="s">
        <v>132</v>
      </c>
      <c r="J186" s="35" t="s">
        <v>401</v>
      </c>
      <c r="K186" s="35" t="s">
        <v>53</v>
      </c>
      <c r="L186" s="35" t="s">
        <v>54</v>
      </c>
      <c r="M186" s="35" t="s">
        <v>45</v>
      </c>
      <c r="N186" s="35" t="s">
        <v>46</v>
      </c>
      <c r="O186" s="35" t="s">
        <v>138</v>
      </c>
      <c r="P186" s="35" t="s">
        <v>138</v>
      </c>
      <c r="Q186" s="35" t="s">
        <v>48</v>
      </c>
      <c r="R186" s="35" t="s">
        <v>140</v>
      </c>
      <c r="S186" s="36">
        <v>46153</v>
      </c>
      <c r="T186" s="36"/>
      <c r="U186" s="35" t="s">
        <v>141</v>
      </c>
      <c r="V186" s="35" t="s">
        <v>412</v>
      </c>
      <c r="W186" s="35" t="s">
        <v>330</v>
      </c>
      <c r="X186" s="36">
        <v>46177</v>
      </c>
      <c r="Y186" s="35" t="s">
        <v>413</v>
      </c>
      <c r="Z186" s="4">
        <f>IF(tblEnrollment[[#This Row],[Approved Date]]="",DATE(2026,6,3)-tblEnrollment[[#This Row],[Submitted Date]],tblEnrollment[[#This Row],[Approved Date]]-tblEnrollment[[#This Row],[Submitted Date]])</f>
        <v>23</v>
      </c>
      <c r="AA186" s="4" t="str">
        <f>IF(tblEnrollment[[#This Row],[Current Status]] ="Ready","Completed",IF(Z186&gt;21,"SLA Breached","Within SLA"))</f>
        <v>SLA Breached</v>
      </c>
      <c r="AB186" s="4" t="str">
        <f>IF(tblEnrollment[[#This Row],[Credentialed NPI]] =tblEnrollment[[#This Row],[Enrolled NPI]],"NPI Match","NPI Mismatch")</f>
        <v>NPI Mismatch</v>
      </c>
      <c r="AC186" s="4" t="str">
        <f>IF(OR(tblEnrollment[[#This Row],[Blocker Reason]] ="Individual NPI used instead of Group NPI",tblEnrollment[[#This Row],[Blocker Reason]] ="Credentialed NPI mismatch",tblEnrollment[[#This Row],[Blocker Reason]] ="Incorrect PTAN/Provider number"),"Yes","No")</f>
        <v>Yes</v>
      </c>
      <c r="AD186" s="4" t="str">
        <f>IF(OR(tblEnrollment[[#This Row],[Blocker Reason]] ="Wrong Payer ID",tblEnrollment[[#This Row],[Blocker Reason]] ="Old Payer ID used"),"Yes","No")</f>
        <v>No</v>
      </c>
      <c r="AE186" s="4" t="str">
        <f>IF(OR(tblEnrollment[[#This Row],[Clearinghouse Portal Updated]]="No",tblEnrollment[[#This Row],[Blocker Reason]] ="Clearinghouse portal not updated"),"Yes","No")</f>
        <v>No</v>
      </c>
      <c r="AF18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8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Status]]="Completed",AB186="NPI Match"),"Ready","Not Ready"),"Not Applicable")</f>
        <v>Not Ready</v>
      </c>
      <c r="AH186" s="4" t="str">
        <f>IF(OR(tblEnrollment[[#This Row],[Enrollment Type]]="ERA",tblEnrollment[[#This Row],[Enrollment Type]]="Claims and ERA"),IF(AND(tblEnrollment[[#This Row],[Credentialing Status]]="Completed",tblEnrollment[[#This Row],[ERA Enrollment Status]]="Approved",tblEnrollment[[#This Row],[Clearinghouse Configuration Status]]="Completed",AB186="NPI Match"),"Ready","Not Ready"),"Not Applicable")</f>
        <v>Not Ready</v>
      </c>
      <c r="AI186" s="4" t="str">
        <f>IF(tblEnrollment[[#This Row],[Blocker Reason]] ="No Blocker","No","Yes")</f>
        <v>Yes</v>
      </c>
    </row>
    <row r="187" spans="1:35" ht="29">
      <c r="A187" s="35" t="s">
        <v>1010</v>
      </c>
      <c r="B187" s="35" t="s">
        <v>70</v>
      </c>
      <c r="C187" s="35" t="s">
        <v>1011</v>
      </c>
      <c r="D187" s="35" t="s">
        <v>1012</v>
      </c>
      <c r="E187" s="35" t="s">
        <v>427</v>
      </c>
      <c r="F187" s="35" t="s">
        <v>427</v>
      </c>
      <c r="G187" s="35" t="s">
        <v>427</v>
      </c>
      <c r="H187" s="35" t="s">
        <v>121</v>
      </c>
      <c r="I187" s="35" t="s">
        <v>129</v>
      </c>
      <c r="J187" s="35" t="s">
        <v>134</v>
      </c>
      <c r="K187" s="35" t="s">
        <v>44</v>
      </c>
      <c r="L187" s="35" t="s">
        <v>1013</v>
      </c>
      <c r="M187" s="35" t="s">
        <v>136</v>
      </c>
      <c r="N187" s="35" t="s">
        <v>46</v>
      </c>
      <c r="O187" s="35" t="s">
        <v>139</v>
      </c>
      <c r="P187" s="35" t="s">
        <v>47</v>
      </c>
      <c r="Q187" s="35" t="s">
        <v>48</v>
      </c>
      <c r="R187" s="35" t="s">
        <v>46</v>
      </c>
      <c r="S187" s="36">
        <v>46118</v>
      </c>
      <c r="T187" s="36">
        <v>46136</v>
      </c>
      <c r="U187" s="35" t="s">
        <v>49</v>
      </c>
      <c r="V187" s="35" t="s">
        <v>348</v>
      </c>
      <c r="W187" s="35" t="s">
        <v>349</v>
      </c>
      <c r="X187" s="36">
        <v>46181</v>
      </c>
      <c r="Y187" s="35" t="s">
        <v>350</v>
      </c>
      <c r="Z187" s="4">
        <f>IF(tblEnrollment[[#This Row],[Approved Date]]="",DATE(2026,6,3)-tblEnrollment[[#This Row],[Submitted Date]],tblEnrollment[[#This Row],[Approved Date]]-tblEnrollment[[#This Row],[Submitted Date]])</f>
        <v>18</v>
      </c>
      <c r="AA187" s="4" t="str">
        <f>IF(tblEnrollment[[#This Row],[Current Status]] ="Ready","Completed",IF(Z187&gt;21,"SLA Breached","Within SLA"))</f>
        <v>Completed</v>
      </c>
      <c r="AB187" s="4" t="str">
        <f>IF(tblEnrollment[[#This Row],[Credentialed NPI]] =tblEnrollment[[#This Row],[Enrolled NPI]],"NPI Match","NPI Mismatch")</f>
        <v>NPI Match</v>
      </c>
      <c r="AC187" s="4" t="str">
        <f>IF(OR(tblEnrollment[[#This Row],[Blocker Reason]] ="Individual NPI used instead of Group NPI",tblEnrollment[[#This Row],[Blocker Reason]] ="Credentialed NPI mismatch",tblEnrollment[[#This Row],[Blocker Reason]] ="Incorrect PTAN/Provider number"),"Yes","No")</f>
        <v>No</v>
      </c>
      <c r="AD187" s="4" t="str">
        <f>IF(OR(tblEnrollment[[#This Row],[Blocker Reason]] ="Wrong Payer ID",tblEnrollment[[#This Row],[Blocker Reason]] ="Old Payer ID used"),"Yes","No")</f>
        <v>No</v>
      </c>
      <c r="AE187" s="4" t="str">
        <f>IF(OR(tblEnrollment[[#This Row],[Clearinghouse Portal Updated]]="No",tblEnrollment[[#This Row],[Blocker Reason]] ="Clearinghouse portal not updated"),"Yes","No")</f>
        <v>No</v>
      </c>
      <c r="AF18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8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Status]]="Completed",AB187="NPI Match"),"Ready","Not Ready"),"Not Applicable")</f>
        <v>Not Applicable</v>
      </c>
      <c r="AH187" s="4" t="str">
        <f>IF(OR(tblEnrollment[[#This Row],[Enrollment Type]]="ERA",tblEnrollment[[#This Row],[Enrollment Type]]="Claims and ERA"),IF(AND(tblEnrollment[[#This Row],[Credentialing Status]]="Completed",tblEnrollment[[#This Row],[ERA Enrollment Status]]="Approved",tblEnrollment[[#This Row],[Clearinghouse Configuration Status]]="Completed",AB187="NPI Match"),"Ready","Not Ready"),"Not Applicable")</f>
        <v>Ready</v>
      </c>
      <c r="AI187" s="4" t="str">
        <f>IF(tblEnrollment[[#This Row],[Blocker Reason]] ="No Blocker","No","Yes")</f>
        <v>No</v>
      </c>
    </row>
    <row r="188" spans="1:35" ht="29">
      <c r="A188" s="35" t="s">
        <v>1014</v>
      </c>
      <c r="B188" s="35" t="s">
        <v>391</v>
      </c>
      <c r="C188" s="35" t="s">
        <v>1015</v>
      </c>
      <c r="D188" s="35" t="s">
        <v>1016</v>
      </c>
      <c r="E188" s="35" t="s">
        <v>874</v>
      </c>
      <c r="F188" s="35" t="s">
        <v>874</v>
      </c>
      <c r="G188" s="35" t="s">
        <v>1017</v>
      </c>
      <c r="H188" s="35" t="s">
        <v>117</v>
      </c>
      <c r="I188" s="35" t="s">
        <v>43</v>
      </c>
      <c r="J188" s="35" t="s">
        <v>357</v>
      </c>
      <c r="K188" s="35" t="s">
        <v>44</v>
      </c>
      <c r="L188" s="35" t="s">
        <v>1018</v>
      </c>
      <c r="M188" s="35" t="s">
        <v>136</v>
      </c>
      <c r="N188" s="35" t="s">
        <v>46</v>
      </c>
      <c r="O188" s="35" t="s">
        <v>139</v>
      </c>
      <c r="P188" s="35" t="s">
        <v>138</v>
      </c>
      <c r="Q188" s="35" t="s">
        <v>48</v>
      </c>
      <c r="R188" s="35" t="s">
        <v>140</v>
      </c>
      <c r="S188" s="36">
        <v>46152</v>
      </c>
      <c r="T188" s="36"/>
      <c r="U188" s="35" t="s">
        <v>141</v>
      </c>
      <c r="V188" s="35" t="s">
        <v>144</v>
      </c>
      <c r="W188" s="35" t="s">
        <v>365</v>
      </c>
      <c r="X188" s="36">
        <v>46179</v>
      </c>
      <c r="Y188" s="35" t="s">
        <v>389</v>
      </c>
      <c r="Z188" s="4">
        <f>IF(tblEnrollment[[#This Row],[Approved Date]]="",DATE(2026,6,3)-tblEnrollment[[#This Row],[Submitted Date]],tblEnrollment[[#This Row],[Approved Date]]-tblEnrollment[[#This Row],[Submitted Date]])</f>
        <v>24</v>
      </c>
      <c r="AA188" s="4" t="str">
        <f>IF(tblEnrollment[[#This Row],[Current Status]] ="Ready","Completed",IF(Z188&gt;21,"SLA Breached","Within SLA"))</f>
        <v>SLA Breached</v>
      </c>
      <c r="AB188" s="4" t="str">
        <f>IF(tblEnrollment[[#This Row],[Credentialed NPI]] =tblEnrollment[[#This Row],[Enrolled NPI]],"NPI Match","NPI Mismatch")</f>
        <v>NPI Mismatch</v>
      </c>
      <c r="AC188" s="4" t="str">
        <f>IF(OR(tblEnrollment[[#This Row],[Blocker Reason]] ="Individual NPI used instead of Group NPI",tblEnrollment[[#This Row],[Blocker Reason]] ="Credentialed NPI mismatch",tblEnrollment[[#This Row],[Blocker Reason]] ="Incorrect PTAN/Provider number"),"Yes","No")</f>
        <v>Yes</v>
      </c>
      <c r="AD188" s="4" t="str">
        <f>IF(OR(tblEnrollment[[#This Row],[Blocker Reason]] ="Wrong Payer ID",tblEnrollment[[#This Row],[Blocker Reason]] ="Old Payer ID used"),"Yes","No")</f>
        <v>No</v>
      </c>
      <c r="AE188" s="4" t="str">
        <f>IF(OR(tblEnrollment[[#This Row],[Clearinghouse Portal Updated]]="No",tblEnrollment[[#This Row],[Blocker Reason]] ="Clearinghouse portal not updated"),"Yes","No")</f>
        <v>No</v>
      </c>
      <c r="AF18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8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Status]]="Completed",AB188="NPI Match"),"Ready","Not Ready"),"Not Applicable")</f>
        <v>Not Applicable</v>
      </c>
      <c r="AH188" s="4" t="str">
        <f>IF(OR(tblEnrollment[[#This Row],[Enrollment Type]]="ERA",tblEnrollment[[#This Row],[Enrollment Type]]="Claims and ERA"),IF(AND(tblEnrollment[[#This Row],[Credentialing Status]]="Completed",tblEnrollment[[#This Row],[ERA Enrollment Status]]="Approved",tblEnrollment[[#This Row],[Clearinghouse Configuration Status]]="Completed",AB188="NPI Match"),"Ready","Not Ready"),"Not Applicable")</f>
        <v>Not Ready</v>
      </c>
      <c r="AI188" s="4" t="str">
        <f>IF(tblEnrollment[[#This Row],[Blocker Reason]] ="No Blocker","No","Yes")</f>
        <v>Yes</v>
      </c>
    </row>
    <row r="189" spans="1:35" ht="29">
      <c r="A189" s="35" t="s">
        <v>1019</v>
      </c>
      <c r="B189" s="35" t="s">
        <v>59</v>
      </c>
      <c r="C189" s="35" t="s">
        <v>1020</v>
      </c>
      <c r="D189" s="35" t="s">
        <v>1021</v>
      </c>
      <c r="E189" s="35" t="s">
        <v>681</v>
      </c>
      <c r="F189" s="35" t="s">
        <v>681</v>
      </c>
      <c r="G189" s="35" t="s">
        <v>681</v>
      </c>
      <c r="H189" s="35" t="s">
        <v>1022</v>
      </c>
      <c r="I189" s="35" t="s">
        <v>130</v>
      </c>
      <c r="J189" s="35" t="s">
        <v>393</v>
      </c>
      <c r="K189" s="35" t="s">
        <v>53</v>
      </c>
      <c r="L189" s="35" t="s">
        <v>54</v>
      </c>
      <c r="M189" s="35" t="s">
        <v>55</v>
      </c>
      <c r="N189" s="35" t="s">
        <v>46</v>
      </c>
      <c r="O189" s="35" t="s">
        <v>56</v>
      </c>
      <c r="P189" s="35" t="s">
        <v>139</v>
      </c>
      <c r="Q189" s="35" t="s">
        <v>48</v>
      </c>
      <c r="R189" s="35" t="s">
        <v>137</v>
      </c>
      <c r="S189" s="36">
        <v>46077</v>
      </c>
      <c r="T189" s="36"/>
      <c r="U189" s="35" t="s">
        <v>56</v>
      </c>
      <c r="V189" s="35" t="s">
        <v>148</v>
      </c>
      <c r="W189" s="35" t="s">
        <v>338</v>
      </c>
      <c r="X189" s="36">
        <v>46181</v>
      </c>
      <c r="Y189" s="35" t="s">
        <v>359</v>
      </c>
      <c r="Z189" s="4">
        <f>IF(tblEnrollment[[#This Row],[Approved Date]]="",DATE(2026,6,3)-tblEnrollment[[#This Row],[Submitted Date]],tblEnrollment[[#This Row],[Approved Date]]-tblEnrollment[[#This Row],[Submitted Date]])</f>
        <v>99</v>
      </c>
      <c r="AA189" s="4" t="str">
        <f>IF(tblEnrollment[[#This Row],[Current Status]] ="Ready","Completed",IF(Z189&gt;21,"SLA Breached","Within SLA"))</f>
        <v>SLA Breached</v>
      </c>
      <c r="AB189" s="4" t="str">
        <f>IF(tblEnrollment[[#This Row],[Credentialed NPI]] =tblEnrollment[[#This Row],[Enrolled NPI]],"NPI Match","NPI Mismatch")</f>
        <v>NPI Match</v>
      </c>
      <c r="AC189" s="4" t="str">
        <f>IF(OR(tblEnrollment[[#This Row],[Blocker Reason]] ="Individual NPI used instead of Group NPI",tblEnrollment[[#This Row],[Blocker Reason]] ="Credentialed NPI mismatch",tblEnrollment[[#This Row],[Blocker Reason]] ="Incorrect PTAN/Provider number"),"Yes","No")</f>
        <v>No</v>
      </c>
      <c r="AD189" s="4" t="str">
        <f>IF(OR(tblEnrollment[[#This Row],[Blocker Reason]] ="Wrong Payer ID",tblEnrollment[[#This Row],[Blocker Reason]] ="Old Payer ID used"),"Yes","No")</f>
        <v>No</v>
      </c>
      <c r="AE189" s="4" t="str">
        <f>IF(OR(tblEnrollment[[#This Row],[Clearinghouse Portal Updated]]="No",tblEnrollment[[#This Row],[Blocker Reason]] ="Clearinghouse portal not updated"),"Yes","No")</f>
        <v>No</v>
      </c>
      <c r="AF18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8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Status]]="Completed",AB189="NPI Match"),"Ready","Not Ready"),"Not Applicable")</f>
        <v>Not Ready</v>
      </c>
      <c r="AH189" s="4" t="str">
        <f>IF(OR(tblEnrollment[[#This Row],[Enrollment Type]]="ERA",tblEnrollment[[#This Row],[Enrollment Type]]="Claims and ERA"),IF(AND(tblEnrollment[[#This Row],[Credentialing Status]]="Completed",tblEnrollment[[#This Row],[ERA Enrollment Status]]="Approved",tblEnrollment[[#This Row],[Clearinghouse Configuration Status]]="Completed",AB189="NPI Match"),"Ready","Not Ready"),"Not Applicable")</f>
        <v>Not Applicable</v>
      </c>
      <c r="AI189" s="4" t="str">
        <f>IF(tblEnrollment[[#This Row],[Blocker Reason]] ="No Blocker","No","Yes")</f>
        <v>Yes</v>
      </c>
    </row>
    <row r="190" spans="1:35" ht="29">
      <c r="A190" s="35" t="s">
        <v>1023</v>
      </c>
      <c r="B190" s="35" t="s">
        <v>63</v>
      </c>
      <c r="C190" s="35" t="s">
        <v>1024</v>
      </c>
      <c r="D190" s="35" t="s">
        <v>1025</v>
      </c>
      <c r="E190" s="35" t="s">
        <v>464</v>
      </c>
      <c r="F190" s="35" t="s">
        <v>464</v>
      </c>
      <c r="G190" s="35" t="s">
        <v>464</v>
      </c>
      <c r="H190" s="35" t="s">
        <v>696</v>
      </c>
      <c r="I190" s="35" t="s">
        <v>130</v>
      </c>
      <c r="J190" s="35" t="s">
        <v>393</v>
      </c>
      <c r="K190" s="35" t="s">
        <v>53</v>
      </c>
      <c r="L190" s="35" t="s">
        <v>54</v>
      </c>
      <c r="M190" s="35" t="s">
        <v>45</v>
      </c>
      <c r="N190" s="35" t="s">
        <v>46</v>
      </c>
      <c r="O190" s="35" t="s">
        <v>47</v>
      </c>
      <c r="P190" s="35" t="s">
        <v>56</v>
      </c>
      <c r="Q190" s="35" t="s">
        <v>58</v>
      </c>
      <c r="R190" s="35" t="s">
        <v>56</v>
      </c>
      <c r="S190" s="36">
        <v>46042</v>
      </c>
      <c r="T190" s="36"/>
      <c r="U190" s="35" t="s">
        <v>56</v>
      </c>
      <c r="V190" s="35" t="s">
        <v>143</v>
      </c>
      <c r="W190" s="35" t="s">
        <v>349</v>
      </c>
      <c r="X190" s="36">
        <v>46177</v>
      </c>
      <c r="Y190" s="35" t="s">
        <v>343</v>
      </c>
      <c r="Z190" s="4">
        <f>IF(tblEnrollment[[#This Row],[Approved Date]]="",DATE(2026,6,3)-tblEnrollment[[#This Row],[Submitted Date]],tblEnrollment[[#This Row],[Approved Date]]-tblEnrollment[[#This Row],[Submitted Date]])</f>
        <v>134</v>
      </c>
      <c r="AA190" s="4" t="str">
        <f>IF(tblEnrollment[[#This Row],[Current Status]] ="Ready","Completed",IF(Z190&gt;21,"SLA Breached","Within SLA"))</f>
        <v>SLA Breached</v>
      </c>
      <c r="AB190" s="4" t="str">
        <f>IF(tblEnrollment[[#This Row],[Credentialed NPI]] =tblEnrollment[[#This Row],[Enrolled NPI]],"NPI Match","NPI Mismatch")</f>
        <v>NPI Match</v>
      </c>
      <c r="AC190" s="4" t="str">
        <f>IF(OR(tblEnrollment[[#This Row],[Blocker Reason]] ="Individual NPI used instead of Group NPI",tblEnrollment[[#This Row],[Blocker Reason]] ="Credentialed NPI mismatch",tblEnrollment[[#This Row],[Blocker Reason]] ="Incorrect PTAN/Provider number"),"Yes","No")</f>
        <v>No</v>
      </c>
      <c r="AD190" s="4" t="str">
        <f>IF(OR(tblEnrollment[[#This Row],[Blocker Reason]] ="Wrong Payer ID",tblEnrollment[[#This Row],[Blocker Reason]] ="Old Payer ID used"),"Yes","No")</f>
        <v>No</v>
      </c>
      <c r="AE190" s="4" t="str">
        <f>IF(OR(tblEnrollment[[#This Row],[Clearinghouse Portal Updated]]="No",tblEnrollment[[#This Row],[Blocker Reason]] ="Clearinghouse portal not updated"),"Yes","No")</f>
        <v>Yes</v>
      </c>
      <c r="AF19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9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Status]]="Completed",AB190="NPI Match"),"Ready","Not Ready"),"Not Applicable")</f>
        <v>Not Ready</v>
      </c>
      <c r="AH190" s="4" t="str">
        <f>IF(OR(tblEnrollment[[#This Row],[Enrollment Type]]="ERA",tblEnrollment[[#This Row],[Enrollment Type]]="Claims and ERA"),IF(AND(tblEnrollment[[#This Row],[Credentialing Status]]="Completed",tblEnrollment[[#This Row],[ERA Enrollment Status]]="Approved",tblEnrollment[[#This Row],[Clearinghouse Configuration Status]]="Completed",AB190="NPI Match"),"Ready","Not Ready"),"Not Applicable")</f>
        <v>Not Ready</v>
      </c>
      <c r="AI190" s="4" t="str">
        <f>IF(tblEnrollment[[#This Row],[Blocker Reason]] ="No Blocker","No","Yes")</f>
        <v>Yes</v>
      </c>
    </row>
    <row r="191" spans="1:35" ht="29">
      <c r="A191" s="35" t="s">
        <v>1026</v>
      </c>
      <c r="B191" s="35" t="s">
        <v>70</v>
      </c>
      <c r="C191" s="35" t="s">
        <v>1027</v>
      </c>
      <c r="D191" s="35" t="s">
        <v>1028</v>
      </c>
      <c r="E191" s="35" t="s">
        <v>506</v>
      </c>
      <c r="F191" s="35" t="s">
        <v>506</v>
      </c>
      <c r="G191" s="35" t="s">
        <v>506</v>
      </c>
      <c r="H191" s="35" t="s">
        <v>106</v>
      </c>
      <c r="I191" s="35" t="s">
        <v>51</v>
      </c>
      <c r="J191" s="35" t="s">
        <v>52</v>
      </c>
      <c r="K191" s="35" t="s">
        <v>53</v>
      </c>
      <c r="L191" s="35" t="s">
        <v>54</v>
      </c>
      <c r="M191" s="35" t="s">
        <v>55</v>
      </c>
      <c r="N191" s="35" t="s">
        <v>46</v>
      </c>
      <c r="O191" s="35" t="s">
        <v>47</v>
      </c>
      <c r="P191" s="35" t="s">
        <v>139</v>
      </c>
      <c r="Q191" s="35" t="s">
        <v>58</v>
      </c>
      <c r="R191" s="35" t="s">
        <v>56</v>
      </c>
      <c r="S191" s="36">
        <v>46157</v>
      </c>
      <c r="T191" s="36"/>
      <c r="U191" s="35" t="s">
        <v>56</v>
      </c>
      <c r="V191" s="35" t="s">
        <v>143</v>
      </c>
      <c r="W191" s="35" t="s">
        <v>338</v>
      </c>
      <c r="X191" s="36">
        <v>46180</v>
      </c>
      <c r="Y191" s="35" t="s">
        <v>343</v>
      </c>
      <c r="Z191" s="4">
        <f>IF(tblEnrollment[[#This Row],[Approved Date]]="",DATE(2026,6,3)-tblEnrollment[[#This Row],[Submitted Date]],tblEnrollment[[#This Row],[Approved Date]]-tblEnrollment[[#This Row],[Submitted Date]])</f>
        <v>19</v>
      </c>
      <c r="AA191" s="4" t="str">
        <f>IF(tblEnrollment[[#This Row],[Current Status]] ="Ready","Completed",IF(Z191&gt;21,"SLA Breached","Within SLA"))</f>
        <v>Within SLA</v>
      </c>
      <c r="AB191" s="4" t="str">
        <f>IF(tblEnrollment[[#This Row],[Credentialed NPI]] =tblEnrollment[[#This Row],[Enrolled NPI]],"NPI Match","NPI Mismatch")</f>
        <v>NPI Match</v>
      </c>
      <c r="AC191" s="4" t="str">
        <f>IF(OR(tblEnrollment[[#This Row],[Blocker Reason]] ="Individual NPI used instead of Group NPI",tblEnrollment[[#This Row],[Blocker Reason]] ="Credentialed NPI mismatch",tblEnrollment[[#This Row],[Blocker Reason]] ="Incorrect PTAN/Provider number"),"Yes","No")</f>
        <v>No</v>
      </c>
      <c r="AD191" s="4" t="str">
        <f>IF(OR(tblEnrollment[[#This Row],[Blocker Reason]] ="Wrong Payer ID",tblEnrollment[[#This Row],[Blocker Reason]] ="Old Payer ID used"),"Yes","No")</f>
        <v>No</v>
      </c>
      <c r="AE191" s="4" t="str">
        <f>IF(OR(tblEnrollment[[#This Row],[Clearinghouse Portal Updated]]="No",tblEnrollment[[#This Row],[Blocker Reason]] ="Clearinghouse portal not updated"),"Yes","No")</f>
        <v>Yes</v>
      </c>
      <c r="AF19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9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Status]]="Completed",AB191="NPI Match"),"Ready","Not Ready"),"Not Applicable")</f>
        <v>Not Ready</v>
      </c>
      <c r="AH191" s="4" t="str">
        <f>IF(OR(tblEnrollment[[#This Row],[Enrollment Type]]="ERA",tblEnrollment[[#This Row],[Enrollment Type]]="Claims and ERA"),IF(AND(tblEnrollment[[#This Row],[Credentialing Status]]="Completed",tblEnrollment[[#This Row],[ERA Enrollment Status]]="Approved",tblEnrollment[[#This Row],[Clearinghouse Configuration Status]]="Completed",AB191="NPI Match"),"Ready","Not Ready"),"Not Applicable")</f>
        <v>Not Applicable</v>
      </c>
      <c r="AI191" s="4" t="str">
        <f>IF(tblEnrollment[[#This Row],[Blocker Reason]] ="No Blocker","No","Yes")</f>
        <v>Yes</v>
      </c>
    </row>
    <row r="192" spans="1:35" ht="29">
      <c r="A192" s="35" t="s">
        <v>1029</v>
      </c>
      <c r="B192" s="35" t="s">
        <v>395</v>
      </c>
      <c r="C192" s="35" t="s">
        <v>1030</v>
      </c>
      <c r="D192" s="35" t="s">
        <v>1031</v>
      </c>
      <c r="E192" s="35" t="s">
        <v>90</v>
      </c>
      <c r="F192" s="35" t="s">
        <v>90</v>
      </c>
      <c r="G192" s="35" t="s">
        <v>90</v>
      </c>
      <c r="H192" s="35" t="s">
        <v>1032</v>
      </c>
      <c r="I192" s="35" t="s">
        <v>51</v>
      </c>
      <c r="J192" s="35" t="s">
        <v>1006</v>
      </c>
      <c r="K192" s="35" t="s">
        <v>53</v>
      </c>
      <c r="L192" s="35" t="s">
        <v>54</v>
      </c>
      <c r="M192" s="35" t="s">
        <v>45</v>
      </c>
      <c r="N192" s="35" t="s">
        <v>46</v>
      </c>
      <c r="O192" s="35" t="s">
        <v>138</v>
      </c>
      <c r="P192" s="35" t="s">
        <v>138</v>
      </c>
      <c r="Q192" s="35" t="s">
        <v>48</v>
      </c>
      <c r="R192" s="35" t="s">
        <v>140</v>
      </c>
      <c r="S192" s="36">
        <v>46048</v>
      </c>
      <c r="T192" s="36"/>
      <c r="U192" s="35" t="s">
        <v>141</v>
      </c>
      <c r="V192" s="35" t="s">
        <v>329</v>
      </c>
      <c r="W192" s="35" t="s">
        <v>330</v>
      </c>
      <c r="X192" s="36">
        <v>46182</v>
      </c>
      <c r="Y192" s="35" t="s">
        <v>331</v>
      </c>
      <c r="Z192" s="4">
        <f>IF(tblEnrollment[[#This Row],[Approved Date]]="",DATE(2026,6,3)-tblEnrollment[[#This Row],[Submitted Date]],tblEnrollment[[#This Row],[Approved Date]]-tblEnrollment[[#This Row],[Submitted Date]])</f>
        <v>128</v>
      </c>
      <c r="AA192" s="4" t="str">
        <f>IF(tblEnrollment[[#This Row],[Current Status]] ="Ready","Completed",IF(Z192&gt;21,"SLA Breached","Within SLA"))</f>
        <v>SLA Breached</v>
      </c>
      <c r="AB192" s="4" t="str">
        <f>IF(tblEnrollment[[#This Row],[Credentialed NPI]] =tblEnrollment[[#This Row],[Enrolled NPI]],"NPI Match","NPI Mismatch")</f>
        <v>NPI Match</v>
      </c>
      <c r="AC192" s="4" t="str">
        <f>IF(OR(tblEnrollment[[#This Row],[Blocker Reason]] ="Individual NPI used instead of Group NPI",tblEnrollment[[#This Row],[Blocker Reason]] ="Credentialed NPI mismatch",tblEnrollment[[#This Row],[Blocker Reason]] ="Incorrect PTAN/Provider number"),"Yes","No")</f>
        <v>No</v>
      </c>
      <c r="AD192" s="4" t="str">
        <f>IF(OR(tblEnrollment[[#This Row],[Blocker Reason]] ="Wrong Payer ID",tblEnrollment[[#This Row],[Blocker Reason]] ="Old Payer ID used"),"Yes","No")</f>
        <v>Yes</v>
      </c>
      <c r="AE192" s="4" t="str">
        <f>IF(OR(tblEnrollment[[#This Row],[Clearinghouse Portal Updated]]="No",tblEnrollment[[#This Row],[Blocker Reason]] ="Clearinghouse portal not updated"),"Yes","No")</f>
        <v>No</v>
      </c>
      <c r="AF19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9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Status]]="Completed",AB192="NPI Match"),"Ready","Not Ready"),"Not Applicable")</f>
        <v>Not Ready</v>
      </c>
      <c r="AH192" s="4" t="str">
        <f>IF(OR(tblEnrollment[[#This Row],[Enrollment Type]]="ERA",tblEnrollment[[#This Row],[Enrollment Type]]="Claims and ERA"),IF(AND(tblEnrollment[[#This Row],[Credentialing Status]]="Completed",tblEnrollment[[#This Row],[ERA Enrollment Status]]="Approved",tblEnrollment[[#This Row],[Clearinghouse Configuration Status]]="Completed",AB192="NPI Match"),"Ready","Not Ready"),"Not Applicable")</f>
        <v>Not Ready</v>
      </c>
      <c r="AI192" s="4" t="str">
        <f>IF(tblEnrollment[[#This Row],[Blocker Reason]] ="No Blocker","No","Yes")</f>
        <v>Yes</v>
      </c>
    </row>
    <row r="193" spans="1:35" ht="29">
      <c r="A193" s="35" t="s">
        <v>1033</v>
      </c>
      <c r="B193" s="35" t="s">
        <v>68</v>
      </c>
      <c r="C193" s="35" t="s">
        <v>1034</v>
      </c>
      <c r="D193" s="35" t="s">
        <v>1035</v>
      </c>
      <c r="E193" s="35" t="s">
        <v>86</v>
      </c>
      <c r="F193" s="35" t="s">
        <v>86</v>
      </c>
      <c r="G193" s="35" t="s">
        <v>86</v>
      </c>
      <c r="H193" s="35" t="s">
        <v>371</v>
      </c>
      <c r="I193" s="35" t="s">
        <v>130</v>
      </c>
      <c r="J193" s="35" t="s">
        <v>575</v>
      </c>
      <c r="K193" s="35" t="s">
        <v>53</v>
      </c>
      <c r="L193" s="35" t="s">
        <v>54</v>
      </c>
      <c r="M193" s="35" t="s">
        <v>45</v>
      </c>
      <c r="N193" s="35" t="s">
        <v>46</v>
      </c>
      <c r="O193" s="35" t="s">
        <v>138</v>
      </c>
      <c r="P193" s="35" t="s">
        <v>138</v>
      </c>
      <c r="Q193" s="35" t="s">
        <v>48</v>
      </c>
      <c r="R193" s="35" t="s">
        <v>140</v>
      </c>
      <c r="S193" s="36">
        <v>46067</v>
      </c>
      <c r="T193" s="36"/>
      <c r="U193" s="35" t="s">
        <v>141</v>
      </c>
      <c r="V193" s="35" t="s">
        <v>329</v>
      </c>
      <c r="W193" s="35" t="s">
        <v>330</v>
      </c>
      <c r="X193" s="36">
        <v>46178</v>
      </c>
      <c r="Y193" s="35" t="s">
        <v>331</v>
      </c>
      <c r="Z193" s="4">
        <f>IF(tblEnrollment[[#This Row],[Approved Date]]="",DATE(2026,6,3)-tblEnrollment[[#This Row],[Submitted Date]],tblEnrollment[[#This Row],[Approved Date]]-tblEnrollment[[#This Row],[Submitted Date]])</f>
        <v>109</v>
      </c>
      <c r="AA193" s="4" t="str">
        <f>IF(tblEnrollment[[#This Row],[Current Status]] ="Ready","Completed",IF(Z193&gt;21,"SLA Breached","Within SLA"))</f>
        <v>SLA Breached</v>
      </c>
      <c r="AB193" s="4" t="str">
        <f>IF(tblEnrollment[[#This Row],[Credentialed NPI]] =tblEnrollment[[#This Row],[Enrolled NPI]],"NPI Match","NPI Mismatch")</f>
        <v>NPI Match</v>
      </c>
      <c r="AC193" s="4" t="str">
        <f>IF(OR(tblEnrollment[[#This Row],[Blocker Reason]] ="Individual NPI used instead of Group NPI",tblEnrollment[[#This Row],[Blocker Reason]] ="Credentialed NPI mismatch",tblEnrollment[[#This Row],[Blocker Reason]] ="Incorrect PTAN/Provider number"),"Yes","No")</f>
        <v>No</v>
      </c>
      <c r="AD193" s="4" t="str">
        <f>IF(OR(tblEnrollment[[#This Row],[Blocker Reason]] ="Wrong Payer ID",tblEnrollment[[#This Row],[Blocker Reason]] ="Old Payer ID used"),"Yes","No")</f>
        <v>Yes</v>
      </c>
      <c r="AE193" s="4" t="str">
        <f>IF(OR(tblEnrollment[[#This Row],[Clearinghouse Portal Updated]]="No",tblEnrollment[[#This Row],[Blocker Reason]] ="Clearinghouse portal not updated"),"Yes","No")</f>
        <v>No</v>
      </c>
      <c r="AF19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9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Status]]="Completed",AB193="NPI Match"),"Ready","Not Ready"),"Not Applicable")</f>
        <v>Not Ready</v>
      </c>
      <c r="AH193" s="4" t="str">
        <f>IF(OR(tblEnrollment[[#This Row],[Enrollment Type]]="ERA",tblEnrollment[[#This Row],[Enrollment Type]]="Claims and ERA"),IF(AND(tblEnrollment[[#This Row],[Credentialing Status]]="Completed",tblEnrollment[[#This Row],[ERA Enrollment Status]]="Approved",tblEnrollment[[#This Row],[Clearinghouse Configuration Status]]="Completed",AB193="NPI Match"),"Ready","Not Ready"),"Not Applicable")</f>
        <v>Not Ready</v>
      </c>
      <c r="AI193" s="4" t="str">
        <f>IF(tblEnrollment[[#This Row],[Blocker Reason]] ="No Blocker","No","Yes")</f>
        <v>Yes</v>
      </c>
    </row>
    <row r="194" spans="1:35" ht="29">
      <c r="A194" s="35" t="s">
        <v>1036</v>
      </c>
      <c r="B194" s="35" t="s">
        <v>68</v>
      </c>
      <c r="C194" s="35" t="s">
        <v>701</v>
      </c>
      <c r="D194" s="35" t="s">
        <v>1037</v>
      </c>
      <c r="E194" s="35" t="s">
        <v>105</v>
      </c>
      <c r="F194" s="35" t="s">
        <v>105</v>
      </c>
      <c r="G194" s="35" t="s">
        <v>1038</v>
      </c>
      <c r="H194" s="35" t="s">
        <v>109</v>
      </c>
      <c r="I194" s="35" t="s">
        <v>132</v>
      </c>
      <c r="J194" s="35" t="s">
        <v>401</v>
      </c>
      <c r="K194" s="35" t="s">
        <v>53</v>
      </c>
      <c r="L194" s="35" t="s">
        <v>54</v>
      </c>
      <c r="M194" s="35" t="s">
        <v>55</v>
      </c>
      <c r="N194" s="35" t="s">
        <v>46</v>
      </c>
      <c r="O194" s="35" t="s">
        <v>138</v>
      </c>
      <c r="P194" s="35" t="s">
        <v>139</v>
      </c>
      <c r="Q194" s="35" t="s">
        <v>48</v>
      </c>
      <c r="R194" s="35" t="s">
        <v>140</v>
      </c>
      <c r="S194" s="36">
        <v>46165</v>
      </c>
      <c r="T194" s="36"/>
      <c r="U194" s="35" t="s">
        <v>141</v>
      </c>
      <c r="V194" s="35" t="s">
        <v>144</v>
      </c>
      <c r="W194" s="35" t="s">
        <v>330</v>
      </c>
      <c r="X194" s="36">
        <v>46176</v>
      </c>
      <c r="Y194" s="35" t="s">
        <v>389</v>
      </c>
      <c r="Z194" s="4">
        <f>IF(tblEnrollment[[#This Row],[Approved Date]]="",DATE(2026,6,3)-tblEnrollment[[#This Row],[Submitted Date]],tblEnrollment[[#This Row],[Approved Date]]-tblEnrollment[[#This Row],[Submitted Date]])</f>
        <v>11</v>
      </c>
      <c r="AA194" s="4" t="str">
        <f>IF(tblEnrollment[[#This Row],[Current Status]] ="Ready","Completed",IF(Z194&gt;21,"SLA Breached","Within SLA"))</f>
        <v>Within SLA</v>
      </c>
      <c r="AB194" s="4" t="str">
        <f>IF(tblEnrollment[[#This Row],[Credentialed NPI]] =tblEnrollment[[#This Row],[Enrolled NPI]],"NPI Match","NPI Mismatch")</f>
        <v>NPI Mismatch</v>
      </c>
      <c r="AC194" s="4" t="str">
        <f>IF(OR(tblEnrollment[[#This Row],[Blocker Reason]] ="Individual NPI used instead of Group NPI",tblEnrollment[[#This Row],[Blocker Reason]] ="Credentialed NPI mismatch",tblEnrollment[[#This Row],[Blocker Reason]] ="Incorrect PTAN/Provider number"),"Yes","No")</f>
        <v>Yes</v>
      </c>
      <c r="AD194" s="4" t="str">
        <f>IF(OR(tblEnrollment[[#This Row],[Blocker Reason]] ="Wrong Payer ID",tblEnrollment[[#This Row],[Blocker Reason]] ="Old Payer ID used"),"Yes","No")</f>
        <v>No</v>
      </c>
      <c r="AE194" s="4" t="str">
        <f>IF(OR(tblEnrollment[[#This Row],[Clearinghouse Portal Updated]]="No",tblEnrollment[[#This Row],[Blocker Reason]] ="Clearinghouse portal not updated"),"Yes","No")</f>
        <v>No</v>
      </c>
      <c r="AF19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9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Status]]="Completed",AB194="NPI Match"),"Ready","Not Ready"),"Not Applicable")</f>
        <v>Not Ready</v>
      </c>
      <c r="AH194" s="4" t="str">
        <f>IF(OR(tblEnrollment[[#This Row],[Enrollment Type]]="ERA",tblEnrollment[[#This Row],[Enrollment Type]]="Claims and ERA"),IF(AND(tblEnrollment[[#This Row],[Credentialing Status]]="Completed",tblEnrollment[[#This Row],[ERA Enrollment Status]]="Approved",tblEnrollment[[#This Row],[Clearinghouse Configuration Status]]="Completed",AB194="NPI Match"),"Ready","Not Ready"),"Not Applicable")</f>
        <v>Not Applicable</v>
      </c>
      <c r="AI194" s="4" t="str">
        <f>IF(tblEnrollment[[#This Row],[Blocker Reason]] ="No Blocker","No","Yes")</f>
        <v>Yes</v>
      </c>
    </row>
    <row r="195" spans="1:35" ht="29">
      <c r="A195" s="35" t="s">
        <v>1039</v>
      </c>
      <c r="B195" s="35" t="s">
        <v>62</v>
      </c>
      <c r="C195" s="35" t="s">
        <v>752</v>
      </c>
      <c r="D195" s="35" t="s">
        <v>1040</v>
      </c>
      <c r="E195" s="35" t="s">
        <v>529</v>
      </c>
      <c r="F195" s="35" t="s">
        <v>529</v>
      </c>
      <c r="G195" s="35" t="s">
        <v>1041</v>
      </c>
      <c r="H195" s="35" t="s">
        <v>1022</v>
      </c>
      <c r="I195" s="35" t="s">
        <v>346</v>
      </c>
      <c r="J195" s="35" t="s">
        <v>347</v>
      </c>
      <c r="K195" s="35" t="s">
        <v>53</v>
      </c>
      <c r="L195" s="35" t="s">
        <v>54</v>
      </c>
      <c r="M195" s="35" t="s">
        <v>45</v>
      </c>
      <c r="N195" s="35" t="s">
        <v>46</v>
      </c>
      <c r="O195" s="35" t="s">
        <v>138</v>
      </c>
      <c r="P195" s="35" t="s">
        <v>138</v>
      </c>
      <c r="Q195" s="35" t="s">
        <v>48</v>
      </c>
      <c r="R195" s="35" t="s">
        <v>140</v>
      </c>
      <c r="S195" s="36">
        <v>46072</v>
      </c>
      <c r="T195" s="36"/>
      <c r="U195" s="35" t="s">
        <v>141</v>
      </c>
      <c r="V195" s="35" t="s">
        <v>144</v>
      </c>
      <c r="W195" s="35" t="s">
        <v>338</v>
      </c>
      <c r="X195" s="36">
        <v>46181</v>
      </c>
      <c r="Y195" s="35" t="s">
        <v>389</v>
      </c>
      <c r="Z195" s="4">
        <f>IF(tblEnrollment[[#This Row],[Approved Date]]="",DATE(2026,6,3)-tblEnrollment[[#This Row],[Submitted Date]],tblEnrollment[[#This Row],[Approved Date]]-tblEnrollment[[#This Row],[Submitted Date]])</f>
        <v>104</v>
      </c>
      <c r="AA195" s="4" t="str">
        <f>IF(tblEnrollment[[#This Row],[Current Status]] ="Ready","Completed",IF(Z195&gt;21,"SLA Breached","Within SLA"))</f>
        <v>SLA Breached</v>
      </c>
      <c r="AB195" s="4" t="str">
        <f>IF(tblEnrollment[[#This Row],[Credentialed NPI]] =tblEnrollment[[#This Row],[Enrolled NPI]],"NPI Match","NPI Mismatch")</f>
        <v>NPI Mismatch</v>
      </c>
      <c r="AC195" s="4" t="str">
        <f>IF(OR(tblEnrollment[[#This Row],[Blocker Reason]] ="Individual NPI used instead of Group NPI",tblEnrollment[[#This Row],[Blocker Reason]] ="Credentialed NPI mismatch",tblEnrollment[[#This Row],[Blocker Reason]] ="Incorrect PTAN/Provider number"),"Yes","No")</f>
        <v>Yes</v>
      </c>
      <c r="AD195" s="4" t="str">
        <f>IF(OR(tblEnrollment[[#This Row],[Blocker Reason]] ="Wrong Payer ID",tblEnrollment[[#This Row],[Blocker Reason]] ="Old Payer ID used"),"Yes","No")</f>
        <v>No</v>
      </c>
      <c r="AE195" s="4" t="str">
        <f>IF(OR(tblEnrollment[[#This Row],[Clearinghouse Portal Updated]]="No",tblEnrollment[[#This Row],[Blocker Reason]] ="Clearinghouse portal not updated"),"Yes","No")</f>
        <v>No</v>
      </c>
      <c r="AF19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9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Status]]="Completed",AB195="NPI Match"),"Ready","Not Ready"),"Not Applicable")</f>
        <v>Not Ready</v>
      </c>
      <c r="AH195" s="4" t="str">
        <f>IF(OR(tblEnrollment[[#This Row],[Enrollment Type]]="ERA",tblEnrollment[[#This Row],[Enrollment Type]]="Claims and ERA"),IF(AND(tblEnrollment[[#This Row],[Credentialing Status]]="Completed",tblEnrollment[[#This Row],[ERA Enrollment Status]]="Approved",tblEnrollment[[#This Row],[Clearinghouse Configuration Status]]="Completed",AB195="NPI Match"),"Ready","Not Ready"),"Not Applicable")</f>
        <v>Not Ready</v>
      </c>
      <c r="AI195" s="4" t="str">
        <f>IF(tblEnrollment[[#This Row],[Blocker Reason]] ="No Blocker","No","Yes")</f>
        <v>Yes</v>
      </c>
    </row>
    <row r="196" spans="1:35" ht="29">
      <c r="A196" s="35" t="s">
        <v>1042</v>
      </c>
      <c r="B196" s="35" t="s">
        <v>361</v>
      </c>
      <c r="C196" s="35" t="s">
        <v>1043</v>
      </c>
      <c r="D196" s="35" t="s">
        <v>1044</v>
      </c>
      <c r="E196" s="35" t="s">
        <v>101</v>
      </c>
      <c r="F196" s="35" t="s">
        <v>101</v>
      </c>
      <c r="G196" s="35" t="s">
        <v>101</v>
      </c>
      <c r="H196" s="35" t="s">
        <v>593</v>
      </c>
      <c r="I196" s="35" t="s">
        <v>346</v>
      </c>
      <c r="J196" s="35" t="s">
        <v>424</v>
      </c>
      <c r="K196" s="35" t="s">
        <v>53</v>
      </c>
      <c r="L196" s="35" t="s">
        <v>54</v>
      </c>
      <c r="M196" s="35" t="s">
        <v>136</v>
      </c>
      <c r="N196" s="35" t="s">
        <v>46</v>
      </c>
      <c r="O196" s="35" t="s">
        <v>139</v>
      </c>
      <c r="P196" s="35" t="s">
        <v>138</v>
      </c>
      <c r="Q196" s="35" t="s">
        <v>48</v>
      </c>
      <c r="R196" s="35" t="s">
        <v>140</v>
      </c>
      <c r="S196" s="36">
        <v>46113</v>
      </c>
      <c r="T196" s="36"/>
      <c r="U196" s="35" t="s">
        <v>141</v>
      </c>
      <c r="V196" s="35" t="s">
        <v>435</v>
      </c>
      <c r="W196" s="35" t="s">
        <v>330</v>
      </c>
      <c r="X196" s="36">
        <v>46183</v>
      </c>
      <c r="Y196" s="35" t="s">
        <v>436</v>
      </c>
      <c r="Z196" s="4">
        <f>IF(tblEnrollment[[#This Row],[Approved Date]]="",DATE(2026,6,3)-tblEnrollment[[#This Row],[Submitted Date]],tblEnrollment[[#This Row],[Approved Date]]-tblEnrollment[[#This Row],[Submitted Date]])</f>
        <v>63</v>
      </c>
      <c r="AA196" s="4" t="str">
        <f>IF(tblEnrollment[[#This Row],[Current Status]] ="Ready","Completed",IF(Z196&gt;21,"SLA Breached","Within SLA"))</f>
        <v>SLA Breached</v>
      </c>
      <c r="AB196" s="4" t="str">
        <f>IF(tblEnrollment[[#This Row],[Credentialed NPI]] =tblEnrollment[[#This Row],[Enrolled NPI]],"NPI Match","NPI Mismatch")</f>
        <v>NPI Match</v>
      </c>
      <c r="AC196" s="4" t="str">
        <f>IF(OR(tblEnrollment[[#This Row],[Blocker Reason]] ="Individual NPI used instead of Group NPI",tblEnrollment[[#This Row],[Blocker Reason]] ="Credentialed NPI mismatch",tblEnrollment[[#This Row],[Blocker Reason]] ="Incorrect PTAN/Provider number"),"Yes","No")</f>
        <v>No</v>
      </c>
      <c r="AD196" s="4" t="str">
        <f>IF(OR(tblEnrollment[[#This Row],[Blocker Reason]] ="Wrong Payer ID",tblEnrollment[[#This Row],[Blocker Reason]] ="Old Payer ID used"),"Yes","No")</f>
        <v>Yes</v>
      </c>
      <c r="AE196" s="4" t="str">
        <f>IF(OR(tblEnrollment[[#This Row],[Clearinghouse Portal Updated]]="No",tblEnrollment[[#This Row],[Blocker Reason]] ="Clearinghouse portal not updated"),"Yes","No")</f>
        <v>No</v>
      </c>
      <c r="AF19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9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Status]]="Completed",AB196="NPI Match"),"Ready","Not Ready"),"Not Applicable")</f>
        <v>Not Applicable</v>
      </c>
      <c r="AH196" s="4" t="str">
        <f>IF(OR(tblEnrollment[[#This Row],[Enrollment Type]]="ERA",tblEnrollment[[#This Row],[Enrollment Type]]="Claims and ERA"),IF(AND(tblEnrollment[[#This Row],[Credentialing Status]]="Completed",tblEnrollment[[#This Row],[ERA Enrollment Status]]="Approved",tblEnrollment[[#This Row],[Clearinghouse Configuration Status]]="Completed",AB196="NPI Match"),"Ready","Not Ready"),"Not Applicable")</f>
        <v>Not Ready</v>
      </c>
      <c r="AI196" s="4" t="str">
        <f>IF(tblEnrollment[[#This Row],[Blocker Reason]] ="No Blocker","No","Yes")</f>
        <v>Yes</v>
      </c>
    </row>
    <row r="197" spans="1:35" ht="29">
      <c r="A197" s="35" t="s">
        <v>1045</v>
      </c>
      <c r="B197" s="35" t="s">
        <v>67</v>
      </c>
      <c r="C197" s="35" t="s">
        <v>810</v>
      </c>
      <c r="D197" s="35" t="s">
        <v>1046</v>
      </c>
      <c r="E197" s="35" t="s">
        <v>506</v>
      </c>
      <c r="F197" s="35" t="s">
        <v>506</v>
      </c>
      <c r="G197" s="35" t="s">
        <v>506</v>
      </c>
      <c r="H197" s="35" t="s">
        <v>610</v>
      </c>
      <c r="I197" s="35" t="s">
        <v>51</v>
      </c>
      <c r="J197" s="35" t="s">
        <v>52</v>
      </c>
      <c r="K197" s="35" t="s">
        <v>53</v>
      </c>
      <c r="L197" s="35" t="s">
        <v>54</v>
      </c>
      <c r="M197" s="35" t="s">
        <v>45</v>
      </c>
      <c r="N197" s="35" t="s">
        <v>137</v>
      </c>
      <c r="O197" s="35" t="s">
        <v>57</v>
      </c>
      <c r="P197" s="35" t="s">
        <v>57</v>
      </c>
      <c r="Q197" s="35" t="s">
        <v>58</v>
      </c>
      <c r="R197" s="35" t="s">
        <v>57</v>
      </c>
      <c r="S197" s="36">
        <v>46043</v>
      </c>
      <c r="T197" s="36"/>
      <c r="U197" s="35" t="s">
        <v>56</v>
      </c>
      <c r="V197" s="35" t="s">
        <v>147</v>
      </c>
      <c r="W197" s="35" t="s">
        <v>349</v>
      </c>
      <c r="X197" s="36">
        <v>46185</v>
      </c>
      <c r="Y197" s="35" t="s">
        <v>406</v>
      </c>
      <c r="Z197" s="4">
        <f>IF(tblEnrollment[[#This Row],[Approved Date]]="",DATE(2026,6,3)-tblEnrollment[[#This Row],[Submitted Date]],tblEnrollment[[#This Row],[Approved Date]]-tblEnrollment[[#This Row],[Submitted Date]])</f>
        <v>133</v>
      </c>
      <c r="AA197" s="4" t="str">
        <f>IF(tblEnrollment[[#This Row],[Current Status]] ="Ready","Completed",IF(Z197&gt;21,"SLA Breached","Within SLA"))</f>
        <v>SLA Breached</v>
      </c>
      <c r="AB197" s="4" t="str">
        <f>IF(tblEnrollment[[#This Row],[Credentialed NPI]] =tblEnrollment[[#This Row],[Enrolled NPI]],"NPI Match","NPI Mismatch")</f>
        <v>NPI Match</v>
      </c>
      <c r="AC197" s="4" t="str">
        <f>IF(OR(tblEnrollment[[#This Row],[Blocker Reason]] ="Individual NPI used instead of Group NPI",tblEnrollment[[#This Row],[Blocker Reason]] ="Credentialed NPI mismatch",tblEnrollment[[#This Row],[Blocker Reason]] ="Incorrect PTAN/Provider number"),"Yes","No")</f>
        <v>No</v>
      </c>
      <c r="AD197" s="4" t="str">
        <f>IF(OR(tblEnrollment[[#This Row],[Blocker Reason]] ="Wrong Payer ID",tblEnrollment[[#This Row],[Blocker Reason]] ="Old Payer ID used"),"Yes","No")</f>
        <v>No</v>
      </c>
      <c r="AE197" s="4" t="str">
        <f>IF(OR(tblEnrollment[[#This Row],[Clearinghouse Portal Updated]]="No",tblEnrollment[[#This Row],[Blocker Reason]] ="Clearinghouse portal not updated"),"Yes","No")</f>
        <v>Yes</v>
      </c>
      <c r="AF19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9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Status]]="Completed",AB197="NPI Match"),"Ready","Not Ready"),"Not Applicable")</f>
        <v>Not Ready</v>
      </c>
      <c r="AH197" s="4" t="str">
        <f>IF(OR(tblEnrollment[[#This Row],[Enrollment Type]]="ERA",tblEnrollment[[#This Row],[Enrollment Type]]="Claims and ERA"),IF(AND(tblEnrollment[[#This Row],[Credentialing Status]]="Completed",tblEnrollment[[#This Row],[ERA Enrollment Status]]="Approved",tblEnrollment[[#This Row],[Clearinghouse Configuration Status]]="Completed",AB197="NPI Match"),"Ready","Not Ready"),"Not Applicable")</f>
        <v>Not Ready</v>
      </c>
      <c r="AI197" s="4" t="str">
        <f>IF(tblEnrollment[[#This Row],[Blocker Reason]] ="No Blocker","No","Yes")</f>
        <v>Yes</v>
      </c>
    </row>
    <row r="198" spans="1:35" ht="29">
      <c r="A198" s="35" t="s">
        <v>1047</v>
      </c>
      <c r="B198" s="35" t="s">
        <v>76</v>
      </c>
      <c r="C198" s="35" t="s">
        <v>1048</v>
      </c>
      <c r="D198" s="35" t="s">
        <v>1049</v>
      </c>
      <c r="E198" s="35" t="s">
        <v>96</v>
      </c>
      <c r="F198" s="35" t="s">
        <v>96</v>
      </c>
      <c r="G198" s="35" t="s">
        <v>1049</v>
      </c>
      <c r="H198" s="35" t="s">
        <v>899</v>
      </c>
      <c r="I198" s="35" t="s">
        <v>131</v>
      </c>
      <c r="J198" s="35" t="s">
        <v>342</v>
      </c>
      <c r="K198" s="35" t="s">
        <v>53</v>
      </c>
      <c r="L198" s="35" t="s">
        <v>54</v>
      </c>
      <c r="M198" s="35" t="s">
        <v>55</v>
      </c>
      <c r="N198" s="35" t="s">
        <v>46</v>
      </c>
      <c r="O198" s="35" t="s">
        <v>138</v>
      </c>
      <c r="P198" s="35" t="s">
        <v>139</v>
      </c>
      <c r="Q198" s="35" t="s">
        <v>48</v>
      </c>
      <c r="R198" s="35" t="s">
        <v>140</v>
      </c>
      <c r="S198" s="36">
        <v>46171</v>
      </c>
      <c r="T198" s="36"/>
      <c r="U198" s="35" t="s">
        <v>141</v>
      </c>
      <c r="V198" s="35" t="s">
        <v>412</v>
      </c>
      <c r="W198" s="35" t="s">
        <v>338</v>
      </c>
      <c r="X198" s="36">
        <v>46186</v>
      </c>
      <c r="Y198" s="35" t="s">
        <v>413</v>
      </c>
      <c r="Z198" s="4">
        <f>IF(tblEnrollment[[#This Row],[Approved Date]]="",DATE(2026,6,3)-tblEnrollment[[#This Row],[Submitted Date]],tblEnrollment[[#This Row],[Approved Date]]-tblEnrollment[[#This Row],[Submitted Date]])</f>
        <v>5</v>
      </c>
      <c r="AA198" s="4" t="str">
        <f>IF(tblEnrollment[[#This Row],[Current Status]] ="Ready","Completed",IF(Z198&gt;21,"SLA Breached","Within SLA"))</f>
        <v>Within SLA</v>
      </c>
      <c r="AB198" s="4" t="str">
        <f>IF(tblEnrollment[[#This Row],[Credentialed NPI]] =tblEnrollment[[#This Row],[Enrolled NPI]],"NPI Match","NPI Mismatch")</f>
        <v>NPI Mismatch</v>
      </c>
      <c r="AC198" s="4" t="str">
        <f>IF(OR(tblEnrollment[[#This Row],[Blocker Reason]] ="Individual NPI used instead of Group NPI",tblEnrollment[[#This Row],[Blocker Reason]] ="Credentialed NPI mismatch",tblEnrollment[[#This Row],[Blocker Reason]] ="Incorrect PTAN/Provider number"),"Yes","No")</f>
        <v>Yes</v>
      </c>
      <c r="AD198" s="4" t="str">
        <f>IF(OR(tblEnrollment[[#This Row],[Blocker Reason]] ="Wrong Payer ID",tblEnrollment[[#This Row],[Blocker Reason]] ="Old Payer ID used"),"Yes","No")</f>
        <v>No</v>
      </c>
      <c r="AE198" s="4" t="str">
        <f>IF(OR(tblEnrollment[[#This Row],[Clearinghouse Portal Updated]]="No",tblEnrollment[[#This Row],[Blocker Reason]] ="Clearinghouse portal not updated"),"Yes","No")</f>
        <v>No</v>
      </c>
      <c r="AF19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9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Status]]="Completed",AB198="NPI Match"),"Ready","Not Ready"),"Not Applicable")</f>
        <v>Not Ready</v>
      </c>
      <c r="AH198" s="4" t="str">
        <f>IF(OR(tblEnrollment[[#This Row],[Enrollment Type]]="ERA",tblEnrollment[[#This Row],[Enrollment Type]]="Claims and ERA"),IF(AND(tblEnrollment[[#This Row],[Credentialing Status]]="Completed",tblEnrollment[[#This Row],[ERA Enrollment Status]]="Approved",tblEnrollment[[#This Row],[Clearinghouse Configuration Status]]="Completed",AB198="NPI Match"),"Ready","Not Ready"),"Not Applicable")</f>
        <v>Not Applicable</v>
      </c>
      <c r="AI198" s="4" t="str">
        <f>IF(tblEnrollment[[#This Row],[Blocker Reason]] ="No Blocker","No","Yes")</f>
        <v>Yes</v>
      </c>
    </row>
    <row r="199" spans="1:35" ht="29">
      <c r="A199" s="35" t="s">
        <v>1050</v>
      </c>
      <c r="B199" s="35" t="s">
        <v>62</v>
      </c>
      <c r="C199" s="35" t="s">
        <v>1051</v>
      </c>
      <c r="D199" s="35" t="s">
        <v>1052</v>
      </c>
      <c r="E199" s="35" t="s">
        <v>422</v>
      </c>
      <c r="F199" s="35" t="s">
        <v>422</v>
      </c>
      <c r="G199" s="35" t="s">
        <v>422</v>
      </c>
      <c r="H199" s="35" t="s">
        <v>474</v>
      </c>
      <c r="I199" s="35" t="s">
        <v>131</v>
      </c>
      <c r="J199" s="35" t="s">
        <v>342</v>
      </c>
      <c r="K199" s="35" t="s">
        <v>53</v>
      </c>
      <c r="L199" s="35" t="s">
        <v>54</v>
      </c>
      <c r="M199" s="35" t="s">
        <v>55</v>
      </c>
      <c r="N199" s="35" t="s">
        <v>46</v>
      </c>
      <c r="O199" s="35" t="s">
        <v>47</v>
      </c>
      <c r="P199" s="35" t="s">
        <v>139</v>
      </c>
      <c r="Q199" s="35" t="s">
        <v>48</v>
      </c>
      <c r="R199" s="35" t="s">
        <v>46</v>
      </c>
      <c r="S199" s="36">
        <v>46117</v>
      </c>
      <c r="T199" s="36">
        <v>46130</v>
      </c>
      <c r="U199" s="35" t="s">
        <v>49</v>
      </c>
      <c r="V199" s="35" t="s">
        <v>348</v>
      </c>
      <c r="W199" s="35" t="s">
        <v>349</v>
      </c>
      <c r="X199" s="36">
        <v>46178</v>
      </c>
      <c r="Y199" s="35" t="s">
        <v>350</v>
      </c>
      <c r="Z199" s="4">
        <f>IF(tblEnrollment[[#This Row],[Approved Date]]="",DATE(2026,6,3)-tblEnrollment[[#This Row],[Submitted Date]],tblEnrollment[[#This Row],[Approved Date]]-tblEnrollment[[#This Row],[Submitted Date]])</f>
        <v>13</v>
      </c>
      <c r="AA199" s="4" t="str">
        <f>IF(tblEnrollment[[#This Row],[Current Status]] ="Ready","Completed",IF(Z199&gt;21,"SLA Breached","Within SLA"))</f>
        <v>Completed</v>
      </c>
      <c r="AB199" s="4" t="str">
        <f>IF(tblEnrollment[[#This Row],[Credentialed NPI]] =tblEnrollment[[#This Row],[Enrolled NPI]],"NPI Match","NPI Mismatch")</f>
        <v>NPI Match</v>
      </c>
      <c r="AC199" s="4" t="str">
        <f>IF(OR(tblEnrollment[[#This Row],[Blocker Reason]] ="Individual NPI used instead of Group NPI",tblEnrollment[[#This Row],[Blocker Reason]] ="Credentialed NPI mismatch",tblEnrollment[[#This Row],[Blocker Reason]] ="Incorrect PTAN/Provider number"),"Yes","No")</f>
        <v>No</v>
      </c>
      <c r="AD199" s="4" t="str">
        <f>IF(OR(tblEnrollment[[#This Row],[Blocker Reason]] ="Wrong Payer ID",tblEnrollment[[#This Row],[Blocker Reason]] ="Old Payer ID used"),"Yes","No")</f>
        <v>No</v>
      </c>
      <c r="AE199" s="4" t="str">
        <f>IF(OR(tblEnrollment[[#This Row],[Clearinghouse Portal Updated]]="No",tblEnrollment[[#This Row],[Blocker Reason]] ="Clearinghouse portal not updated"),"Yes","No")</f>
        <v>No</v>
      </c>
      <c r="AF19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19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Status]]="Completed",AB199="NPI Match"),"Ready","Not Ready"),"Not Applicable")</f>
        <v>Ready</v>
      </c>
      <c r="AH199" s="4" t="str">
        <f>IF(OR(tblEnrollment[[#This Row],[Enrollment Type]]="ERA",tblEnrollment[[#This Row],[Enrollment Type]]="Claims and ERA"),IF(AND(tblEnrollment[[#This Row],[Credentialing Status]]="Completed",tblEnrollment[[#This Row],[ERA Enrollment Status]]="Approved",tblEnrollment[[#This Row],[Clearinghouse Configuration Status]]="Completed",AB199="NPI Match"),"Ready","Not Ready"),"Not Applicable")</f>
        <v>Not Applicable</v>
      </c>
      <c r="AI199" s="4" t="str">
        <f>IF(tblEnrollment[[#This Row],[Blocker Reason]] ="No Blocker","No","Yes")</f>
        <v>No</v>
      </c>
    </row>
    <row r="200" spans="1:35" ht="29">
      <c r="A200" s="35" t="s">
        <v>1053</v>
      </c>
      <c r="B200" s="35" t="s">
        <v>513</v>
      </c>
      <c r="C200" s="35" t="s">
        <v>1054</v>
      </c>
      <c r="D200" s="35" t="s">
        <v>1055</v>
      </c>
      <c r="E200" s="35" t="s">
        <v>681</v>
      </c>
      <c r="F200" s="35" t="s">
        <v>681</v>
      </c>
      <c r="G200" s="35" t="s">
        <v>681</v>
      </c>
      <c r="H200" s="35" t="s">
        <v>397</v>
      </c>
      <c r="I200" s="35" t="s">
        <v>130</v>
      </c>
      <c r="J200" s="35" t="s">
        <v>721</v>
      </c>
      <c r="K200" s="35" t="s">
        <v>53</v>
      </c>
      <c r="L200" s="35" t="s">
        <v>54</v>
      </c>
      <c r="M200" s="35" t="s">
        <v>45</v>
      </c>
      <c r="N200" s="35" t="s">
        <v>46</v>
      </c>
      <c r="O200" s="35" t="s">
        <v>138</v>
      </c>
      <c r="P200" s="35" t="s">
        <v>138</v>
      </c>
      <c r="Q200" s="35" t="s">
        <v>48</v>
      </c>
      <c r="R200" s="35" t="s">
        <v>140</v>
      </c>
      <c r="S200" s="36">
        <v>46072</v>
      </c>
      <c r="T200" s="36"/>
      <c r="U200" s="35" t="s">
        <v>141</v>
      </c>
      <c r="V200" s="35" t="s">
        <v>329</v>
      </c>
      <c r="W200" s="35" t="s">
        <v>365</v>
      </c>
      <c r="X200" s="36">
        <v>46184</v>
      </c>
      <c r="Y200" s="35" t="s">
        <v>331</v>
      </c>
      <c r="Z200" s="4">
        <f>IF(tblEnrollment[[#This Row],[Approved Date]]="",DATE(2026,6,3)-tblEnrollment[[#This Row],[Submitted Date]],tblEnrollment[[#This Row],[Approved Date]]-tblEnrollment[[#This Row],[Submitted Date]])</f>
        <v>104</v>
      </c>
      <c r="AA200" s="4" t="str">
        <f>IF(tblEnrollment[[#This Row],[Current Status]] ="Ready","Completed",IF(Z200&gt;21,"SLA Breached","Within SLA"))</f>
        <v>SLA Breached</v>
      </c>
      <c r="AB200" s="4" t="str">
        <f>IF(tblEnrollment[[#This Row],[Credentialed NPI]] =tblEnrollment[[#This Row],[Enrolled NPI]],"NPI Match","NPI Mismatch")</f>
        <v>NPI Match</v>
      </c>
      <c r="AC200" s="4" t="str">
        <f>IF(OR(tblEnrollment[[#This Row],[Blocker Reason]] ="Individual NPI used instead of Group NPI",tblEnrollment[[#This Row],[Blocker Reason]] ="Credentialed NPI mismatch",tblEnrollment[[#This Row],[Blocker Reason]] ="Incorrect PTAN/Provider number"),"Yes","No")</f>
        <v>No</v>
      </c>
      <c r="AD200" s="4" t="str">
        <f>IF(OR(tblEnrollment[[#This Row],[Blocker Reason]] ="Wrong Payer ID",tblEnrollment[[#This Row],[Blocker Reason]] ="Old Payer ID used"),"Yes","No")</f>
        <v>Yes</v>
      </c>
      <c r="AE200" s="4" t="str">
        <f>IF(OR(tblEnrollment[[#This Row],[Clearinghouse Portal Updated]]="No",tblEnrollment[[#This Row],[Blocker Reason]] ="Clearinghouse portal not updated"),"Yes","No")</f>
        <v>No</v>
      </c>
      <c r="AF20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0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Status]]="Completed",AB200="NPI Match"),"Ready","Not Ready"),"Not Applicable")</f>
        <v>Not Ready</v>
      </c>
      <c r="AH200" s="4" t="str">
        <f>IF(OR(tblEnrollment[[#This Row],[Enrollment Type]]="ERA",tblEnrollment[[#This Row],[Enrollment Type]]="Claims and ERA"),IF(AND(tblEnrollment[[#This Row],[Credentialing Status]]="Completed",tblEnrollment[[#This Row],[ERA Enrollment Status]]="Approved",tblEnrollment[[#This Row],[Clearinghouse Configuration Status]]="Completed",AB200="NPI Match"),"Ready","Not Ready"),"Not Applicable")</f>
        <v>Not Ready</v>
      </c>
      <c r="AI200" s="4" t="str">
        <f>IF(tblEnrollment[[#This Row],[Blocker Reason]] ="No Blocker","No","Yes")</f>
        <v>Yes</v>
      </c>
    </row>
    <row r="201" spans="1:35" ht="29">
      <c r="A201" s="35" t="s">
        <v>1056</v>
      </c>
      <c r="B201" s="35" t="s">
        <v>77</v>
      </c>
      <c r="C201" s="35" t="s">
        <v>1057</v>
      </c>
      <c r="D201" s="35" t="s">
        <v>1058</v>
      </c>
      <c r="E201" s="35" t="s">
        <v>386</v>
      </c>
      <c r="F201" s="35" t="s">
        <v>386</v>
      </c>
      <c r="G201" s="35" t="s">
        <v>1058</v>
      </c>
      <c r="H201" s="35" t="s">
        <v>812</v>
      </c>
      <c r="I201" s="35" t="s">
        <v>51</v>
      </c>
      <c r="J201" s="35" t="s">
        <v>52</v>
      </c>
      <c r="K201" s="35" t="s">
        <v>53</v>
      </c>
      <c r="L201" s="35" t="s">
        <v>54</v>
      </c>
      <c r="M201" s="35" t="s">
        <v>45</v>
      </c>
      <c r="N201" s="35" t="s">
        <v>46</v>
      </c>
      <c r="O201" s="35" t="s">
        <v>138</v>
      </c>
      <c r="P201" s="35" t="s">
        <v>138</v>
      </c>
      <c r="Q201" s="35" t="s">
        <v>48</v>
      </c>
      <c r="R201" s="35" t="s">
        <v>140</v>
      </c>
      <c r="S201" s="36">
        <v>46173</v>
      </c>
      <c r="T201" s="36"/>
      <c r="U201" s="35" t="s">
        <v>141</v>
      </c>
      <c r="V201" s="35" t="s">
        <v>412</v>
      </c>
      <c r="W201" s="35" t="s">
        <v>338</v>
      </c>
      <c r="X201" s="36">
        <v>46181</v>
      </c>
      <c r="Y201" s="35" t="s">
        <v>413</v>
      </c>
      <c r="Z201" s="4">
        <f>IF(tblEnrollment[[#This Row],[Approved Date]]="",DATE(2026,6,3)-tblEnrollment[[#This Row],[Submitted Date]],tblEnrollment[[#This Row],[Approved Date]]-tblEnrollment[[#This Row],[Submitted Date]])</f>
        <v>3</v>
      </c>
      <c r="AA201" s="4" t="str">
        <f>IF(tblEnrollment[[#This Row],[Current Status]] ="Ready","Completed",IF(Z201&gt;21,"SLA Breached","Within SLA"))</f>
        <v>Within SLA</v>
      </c>
      <c r="AB201" s="4" t="str">
        <f>IF(tblEnrollment[[#This Row],[Credentialed NPI]] =tblEnrollment[[#This Row],[Enrolled NPI]],"NPI Match","NPI Mismatch")</f>
        <v>NPI Mismatch</v>
      </c>
      <c r="AC201" s="4" t="str">
        <f>IF(OR(tblEnrollment[[#This Row],[Blocker Reason]] ="Individual NPI used instead of Group NPI",tblEnrollment[[#This Row],[Blocker Reason]] ="Credentialed NPI mismatch",tblEnrollment[[#This Row],[Blocker Reason]] ="Incorrect PTAN/Provider number"),"Yes","No")</f>
        <v>Yes</v>
      </c>
      <c r="AD201" s="4" t="str">
        <f>IF(OR(tblEnrollment[[#This Row],[Blocker Reason]] ="Wrong Payer ID",tblEnrollment[[#This Row],[Blocker Reason]] ="Old Payer ID used"),"Yes","No")</f>
        <v>No</v>
      </c>
      <c r="AE201" s="4" t="str">
        <f>IF(OR(tblEnrollment[[#This Row],[Clearinghouse Portal Updated]]="No",tblEnrollment[[#This Row],[Blocker Reason]] ="Clearinghouse portal not updated"),"Yes","No")</f>
        <v>No</v>
      </c>
      <c r="AF20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0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Status]]="Completed",AB201="NPI Match"),"Ready","Not Ready"),"Not Applicable")</f>
        <v>Not Ready</v>
      </c>
      <c r="AH201" s="4" t="str">
        <f>IF(OR(tblEnrollment[[#This Row],[Enrollment Type]]="ERA",tblEnrollment[[#This Row],[Enrollment Type]]="Claims and ERA"),IF(AND(tblEnrollment[[#This Row],[Credentialing Status]]="Completed",tblEnrollment[[#This Row],[ERA Enrollment Status]]="Approved",tblEnrollment[[#This Row],[Clearinghouse Configuration Status]]="Completed",AB201="NPI Match"),"Ready","Not Ready"),"Not Applicable")</f>
        <v>Not Ready</v>
      </c>
      <c r="AI201" s="4" t="str">
        <f>IF(tblEnrollment[[#This Row],[Blocker Reason]] ="No Blocker","No","Yes")</f>
        <v>Yes</v>
      </c>
    </row>
    <row r="202" spans="1:35" ht="29">
      <c r="A202" s="35" t="s">
        <v>1059</v>
      </c>
      <c r="B202" s="35" t="s">
        <v>77</v>
      </c>
      <c r="C202" s="35" t="s">
        <v>1060</v>
      </c>
      <c r="D202" s="35" t="s">
        <v>1061</v>
      </c>
      <c r="E202" s="35" t="s">
        <v>529</v>
      </c>
      <c r="F202" s="35" t="s">
        <v>529</v>
      </c>
      <c r="G202" s="35" t="s">
        <v>529</v>
      </c>
      <c r="H202" s="35" t="s">
        <v>465</v>
      </c>
      <c r="I202" s="35" t="s">
        <v>129</v>
      </c>
      <c r="J202" s="35" t="s">
        <v>134</v>
      </c>
      <c r="K202" s="35" t="s">
        <v>44</v>
      </c>
      <c r="L202" s="35" t="s">
        <v>1062</v>
      </c>
      <c r="M202" s="35" t="s">
        <v>45</v>
      </c>
      <c r="N202" s="35" t="s">
        <v>46</v>
      </c>
      <c r="O202" s="35" t="s">
        <v>47</v>
      </c>
      <c r="P202" s="35" t="s">
        <v>56</v>
      </c>
      <c r="Q202" s="35" t="s">
        <v>58</v>
      </c>
      <c r="R202" s="35" t="s">
        <v>56</v>
      </c>
      <c r="S202" s="36">
        <v>46113</v>
      </c>
      <c r="T202" s="36"/>
      <c r="U202" s="35" t="s">
        <v>56</v>
      </c>
      <c r="V202" s="35" t="s">
        <v>143</v>
      </c>
      <c r="W202" s="35" t="s">
        <v>441</v>
      </c>
      <c r="X202" s="36">
        <v>46179</v>
      </c>
      <c r="Y202" s="35" t="s">
        <v>343</v>
      </c>
      <c r="Z202" s="4">
        <f>IF(tblEnrollment[[#This Row],[Approved Date]]="",DATE(2026,6,3)-tblEnrollment[[#This Row],[Submitted Date]],tblEnrollment[[#This Row],[Approved Date]]-tblEnrollment[[#This Row],[Submitted Date]])</f>
        <v>63</v>
      </c>
      <c r="AA202" s="4" t="str">
        <f>IF(tblEnrollment[[#This Row],[Current Status]] ="Ready","Completed",IF(Z202&gt;21,"SLA Breached","Within SLA"))</f>
        <v>SLA Breached</v>
      </c>
      <c r="AB202" s="4" t="str">
        <f>IF(tblEnrollment[[#This Row],[Credentialed NPI]] =tblEnrollment[[#This Row],[Enrolled NPI]],"NPI Match","NPI Mismatch")</f>
        <v>NPI Match</v>
      </c>
      <c r="AC202" s="4" t="str">
        <f>IF(OR(tblEnrollment[[#This Row],[Blocker Reason]] ="Individual NPI used instead of Group NPI",tblEnrollment[[#This Row],[Blocker Reason]] ="Credentialed NPI mismatch",tblEnrollment[[#This Row],[Blocker Reason]] ="Incorrect PTAN/Provider number"),"Yes","No")</f>
        <v>No</v>
      </c>
      <c r="AD202" s="4" t="str">
        <f>IF(OR(tblEnrollment[[#This Row],[Blocker Reason]] ="Wrong Payer ID",tblEnrollment[[#This Row],[Blocker Reason]] ="Old Payer ID used"),"Yes","No")</f>
        <v>No</v>
      </c>
      <c r="AE202" s="4" t="str">
        <f>IF(OR(tblEnrollment[[#This Row],[Clearinghouse Portal Updated]]="No",tblEnrollment[[#This Row],[Blocker Reason]] ="Clearinghouse portal not updated"),"Yes","No")</f>
        <v>Yes</v>
      </c>
      <c r="AF20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0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Status]]="Completed",AB202="NPI Match"),"Ready","Not Ready"),"Not Applicable")</f>
        <v>Not Ready</v>
      </c>
      <c r="AH202" s="4" t="str">
        <f>IF(OR(tblEnrollment[[#This Row],[Enrollment Type]]="ERA",tblEnrollment[[#This Row],[Enrollment Type]]="Claims and ERA"),IF(AND(tblEnrollment[[#This Row],[Credentialing Status]]="Completed",tblEnrollment[[#This Row],[ERA Enrollment Status]]="Approved",tblEnrollment[[#This Row],[Clearinghouse Configuration Status]]="Completed",AB202="NPI Match"),"Ready","Not Ready"),"Not Applicable")</f>
        <v>Not Ready</v>
      </c>
      <c r="AI202" s="4" t="str">
        <f>IF(tblEnrollment[[#This Row],[Blocker Reason]] ="No Blocker","No","Yes")</f>
        <v>Yes</v>
      </c>
    </row>
    <row r="203" spans="1:35" ht="29">
      <c r="A203" s="35" t="s">
        <v>1063</v>
      </c>
      <c r="B203" s="35" t="s">
        <v>78</v>
      </c>
      <c r="C203" s="35" t="s">
        <v>1064</v>
      </c>
      <c r="D203" s="35" t="s">
        <v>1065</v>
      </c>
      <c r="E203" s="35" t="s">
        <v>381</v>
      </c>
      <c r="F203" s="35" t="s">
        <v>381</v>
      </c>
      <c r="G203" s="35" t="s">
        <v>1017</v>
      </c>
      <c r="H203" s="35" t="s">
        <v>899</v>
      </c>
      <c r="I203" s="35" t="s">
        <v>51</v>
      </c>
      <c r="J203" s="35" t="s">
        <v>52</v>
      </c>
      <c r="K203" s="35" t="s">
        <v>53</v>
      </c>
      <c r="L203" s="35" t="s">
        <v>54</v>
      </c>
      <c r="M203" s="35" t="s">
        <v>45</v>
      </c>
      <c r="N203" s="35" t="s">
        <v>46</v>
      </c>
      <c r="O203" s="35" t="s">
        <v>138</v>
      </c>
      <c r="P203" s="35" t="s">
        <v>138</v>
      </c>
      <c r="Q203" s="35" t="s">
        <v>48</v>
      </c>
      <c r="R203" s="35" t="s">
        <v>140</v>
      </c>
      <c r="S203" s="36">
        <v>46110</v>
      </c>
      <c r="T203" s="36"/>
      <c r="U203" s="35" t="s">
        <v>141</v>
      </c>
      <c r="V203" s="35" t="s">
        <v>144</v>
      </c>
      <c r="W203" s="35" t="s">
        <v>338</v>
      </c>
      <c r="X203" s="36">
        <v>46177</v>
      </c>
      <c r="Y203" s="35" t="s">
        <v>389</v>
      </c>
      <c r="Z203" s="4">
        <f>IF(tblEnrollment[[#This Row],[Approved Date]]="",DATE(2026,6,3)-tblEnrollment[[#This Row],[Submitted Date]],tblEnrollment[[#This Row],[Approved Date]]-tblEnrollment[[#This Row],[Submitted Date]])</f>
        <v>66</v>
      </c>
      <c r="AA203" s="4" t="str">
        <f>IF(tblEnrollment[[#This Row],[Current Status]] ="Ready","Completed",IF(Z203&gt;21,"SLA Breached","Within SLA"))</f>
        <v>SLA Breached</v>
      </c>
      <c r="AB203" s="4" t="str">
        <f>IF(tblEnrollment[[#This Row],[Credentialed NPI]] =tblEnrollment[[#This Row],[Enrolled NPI]],"NPI Match","NPI Mismatch")</f>
        <v>NPI Mismatch</v>
      </c>
      <c r="AC203" s="4" t="str">
        <f>IF(OR(tblEnrollment[[#This Row],[Blocker Reason]] ="Individual NPI used instead of Group NPI",tblEnrollment[[#This Row],[Blocker Reason]] ="Credentialed NPI mismatch",tblEnrollment[[#This Row],[Blocker Reason]] ="Incorrect PTAN/Provider number"),"Yes","No")</f>
        <v>Yes</v>
      </c>
      <c r="AD203" s="4" t="str">
        <f>IF(OR(tblEnrollment[[#This Row],[Blocker Reason]] ="Wrong Payer ID",tblEnrollment[[#This Row],[Blocker Reason]] ="Old Payer ID used"),"Yes","No")</f>
        <v>No</v>
      </c>
      <c r="AE203" s="4" t="str">
        <f>IF(OR(tblEnrollment[[#This Row],[Clearinghouse Portal Updated]]="No",tblEnrollment[[#This Row],[Blocker Reason]] ="Clearinghouse portal not updated"),"Yes","No")</f>
        <v>No</v>
      </c>
      <c r="AF20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0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Status]]="Completed",AB203="NPI Match"),"Ready","Not Ready"),"Not Applicable")</f>
        <v>Not Ready</v>
      </c>
      <c r="AH203" s="4" t="str">
        <f>IF(OR(tblEnrollment[[#This Row],[Enrollment Type]]="ERA",tblEnrollment[[#This Row],[Enrollment Type]]="Claims and ERA"),IF(AND(tblEnrollment[[#This Row],[Credentialing Status]]="Completed",tblEnrollment[[#This Row],[ERA Enrollment Status]]="Approved",tblEnrollment[[#This Row],[Clearinghouse Configuration Status]]="Completed",AB203="NPI Match"),"Ready","Not Ready"),"Not Applicable")</f>
        <v>Not Ready</v>
      </c>
      <c r="AI203" s="4" t="str">
        <f>IF(tblEnrollment[[#This Row],[Blocker Reason]] ="No Blocker","No","Yes")</f>
        <v>Yes</v>
      </c>
    </row>
    <row r="204" spans="1:35" ht="29">
      <c r="A204" s="35" t="s">
        <v>1066</v>
      </c>
      <c r="B204" s="35" t="s">
        <v>375</v>
      </c>
      <c r="C204" s="35" t="s">
        <v>1067</v>
      </c>
      <c r="D204" s="35" t="s">
        <v>1068</v>
      </c>
      <c r="E204" s="35" t="s">
        <v>104</v>
      </c>
      <c r="F204" s="35" t="s">
        <v>104</v>
      </c>
      <c r="G204" s="35" t="s">
        <v>104</v>
      </c>
      <c r="H204" s="35" t="s">
        <v>670</v>
      </c>
      <c r="I204" s="35" t="s">
        <v>132</v>
      </c>
      <c r="J204" s="35" t="s">
        <v>401</v>
      </c>
      <c r="K204" s="35" t="s">
        <v>53</v>
      </c>
      <c r="L204" s="35" t="s">
        <v>54</v>
      </c>
      <c r="M204" s="35" t="s">
        <v>45</v>
      </c>
      <c r="N204" s="35" t="s">
        <v>46</v>
      </c>
      <c r="O204" s="35" t="s">
        <v>47</v>
      </c>
      <c r="P204" s="35" t="s">
        <v>56</v>
      </c>
      <c r="Q204" s="35" t="s">
        <v>58</v>
      </c>
      <c r="R204" s="35" t="s">
        <v>56</v>
      </c>
      <c r="S204" s="36">
        <v>46110</v>
      </c>
      <c r="T204" s="36"/>
      <c r="U204" s="35" t="s">
        <v>56</v>
      </c>
      <c r="V204" s="35" t="s">
        <v>143</v>
      </c>
      <c r="W204" s="35" t="s">
        <v>330</v>
      </c>
      <c r="X204" s="36">
        <v>46187</v>
      </c>
      <c r="Y204" s="35" t="s">
        <v>343</v>
      </c>
      <c r="Z204" s="4">
        <f>IF(tblEnrollment[[#This Row],[Approved Date]]="",DATE(2026,6,3)-tblEnrollment[[#This Row],[Submitted Date]],tblEnrollment[[#This Row],[Approved Date]]-tblEnrollment[[#This Row],[Submitted Date]])</f>
        <v>66</v>
      </c>
      <c r="AA204" s="4" t="str">
        <f>IF(tblEnrollment[[#This Row],[Current Status]] ="Ready","Completed",IF(Z204&gt;21,"SLA Breached","Within SLA"))</f>
        <v>SLA Breached</v>
      </c>
      <c r="AB204" s="4" t="str">
        <f>IF(tblEnrollment[[#This Row],[Credentialed NPI]] =tblEnrollment[[#This Row],[Enrolled NPI]],"NPI Match","NPI Mismatch")</f>
        <v>NPI Match</v>
      </c>
      <c r="AC204" s="4" t="str">
        <f>IF(OR(tblEnrollment[[#This Row],[Blocker Reason]] ="Individual NPI used instead of Group NPI",tblEnrollment[[#This Row],[Blocker Reason]] ="Credentialed NPI mismatch",tblEnrollment[[#This Row],[Blocker Reason]] ="Incorrect PTAN/Provider number"),"Yes","No")</f>
        <v>No</v>
      </c>
      <c r="AD204" s="4" t="str">
        <f>IF(OR(tblEnrollment[[#This Row],[Blocker Reason]] ="Wrong Payer ID",tblEnrollment[[#This Row],[Blocker Reason]] ="Old Payer ID used"),"Yes","No")</f>
        <v>No</v>
      </c>
      <c r="AE204" s="4" t="str">
        <f>IF(OR(tblEnrollment[[#This Row],[Clearinghouse Portal Updated]]="No",tblEnrollment[[#This Row],[Blocker Reason]] ="Clearinghouse portal not updated"),"Yes","No")</f>
        <v>Yes</v>
      </c>
      <c r="AF20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0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Status]]="Completed",AB204="NPI Match"),"Ready","Not Ready"),"Not Applicable")</f>
        <v>Not Ready</v>
      </c>
      <c r="AH204" s="4" t="str">
        <f>IF(OR(tblEnrollment[[#This Row],[Enrollment Type]]="ERA",tblEnrollment[[#This Row],[Enrollment Type]]="Claims and ERA"),IF(AND(tblEnrollment[[#This Row],[Credentialing Status]]="Completed",tblEnrollment[[#This Row],[ERA Enrollment Status]]="Approved",tblEnrollment[[#This Row],[Clearinghouse Configuration Status]]="Completed",AB204="NPI Match"),"Ready","Not Ready"),"Not Applicable")</f>
        <v>Not Ready</v>
      </c>
      <c r="AI204" s="4" t="str">
        <f>IF(tblEnrollment[[#This Row],[Blocker Reason]] ="No Blocker","No","Yes")</f>
        <v>Yes</v>
      </c>
    </row>
    <row r="205" spans="1:35" ht="29">
      <c r="A205" s="35" t="s">
        <v>1069</v>
      </c>
      <c r="B205" s="35" t="s">
        <v>471</v>
      </c>
      <c r="C205" s="35" t="s">
        <v>1070</v>
      </c>
      <c r="D205" s="35" t="s">
        <v>1071</v>
      </c>
      <c r="E205" s="35" t="s">
        <v>98</v>
      </c>
      <c r="F205" s="35" t="s">
        <v>98</v>
      </c>
      <c r="G205" s="35" t="s">
        <v>98</v>
      </c>
      <c r="H205" s="35" t="s">
        <v>122</v>
      </c>
      <c r="I205" s="35" t="s">
        <v>131</v>
      </c>
      <c r="J205" s="35" t="s">
        <v>342</v>
      </c>
      <c r="K205" s="35" t="s">
        <v>53</v>
      </c>
      <c r="L205" s="35" t="s">
        <v>54</v>
      </c>
      <c r="M205" s="35" t="s">
        <v>45</v>
      </c>
      <c r="N205" s="35" t="s">
        <v>46</v>
      </c>
      <c r="O205" s="35" t="s">
        <v>47</v>
      </c>
      <c r="P205" s="35" t="s">
        <v>47</v>
      </c>
      <c r="Q205" s="35" t="s">
        <v>48</v>
      </c>
      <c r="R205" s="35" t="s">
        <v>46</v>
      </c>
      <c r="S205" s="36">
        <v>46174</v>
      </c>
      <c r="T205" s="36">
        <v>46173</v>
      </c>
      <c r="U205" s="35" t="s">
        <v>49</v>
      </c>
      <c r="V205" s="35" t="s">
        <v>348</v>
      </c>
      <c r="W205" s="35" t="s">
        <v>441</v>
      </c>
      <c r="X205" s="36">
        <v>46187</v>
      </c>
      <c r="Y205" s="35" t="s">
        <v>350</v>
      </c>
      <c r="Z205" s="4">
        <f>IF(tblEnrollment[[#This Row],[Approved Date]]="",DATE(2026,6,3)-tblEnrollment[[#This Row],[Submitted Date]],tblEnrollment[[#This Row],[Approved Date]]-tblEnrollment[[#This Row],[Submitted Date]])</f>
        <v>-1</v>
      </c>
      <c r="AA205" s="4" t="str">
        <f>IF(tblEnrollment[[#This Row],[Current Status]] ="Ready","Completed",IF(Z205&gt;21,"SLA Breached","Within SLA"))</f>
        <v>Completed</v>
      </c>
      <c r="AB205" s="4" t="str">
        <f>IF(tblEnrollment[[#This Row],[Credentialed NPI]] =tblEnrollment[[#This Row],[Enrolled NPI]],"NPI Match","NPI Mismatch")</f>
        <v>NPI Match</v>
      </c>
      <c r="AC205" s="4" t="str">
        <f>IF(OR(tblEnrollment[[#This Row],[Blocker Reason]] ="Individual NPI used instead of Group NPI",tblEnrollment[[#This Row],[Blocker Reason]] ="Credentialed NPI mismatch",tblEnrollment[[#This Row],[Blocker Reason]] ="Incorrect PTAN/Provider number"),"Yes","No")</f>
        <v>No</v>
      </c>
      <c r="AD205" s="4" t="str">
        <f>IF(OR(tblEnrollment[[#This Row],[Blocker Reason]] ="Wrong Payer ID",tblEnrollment[[#This Row],[Blocker Reason]] ="Old Payer ID used"),"Yes","No")</f>
        <v>No</v>
      </c>
      <c r="AE205" s="4" t="str">
        <f>IF(OR(tblEnrollment[[#This Row],[Clearinghouse Portal Updated]]="No",tblEnrollment[[#This Row],[Blocker Reason]] ="Clearinghouse portal not updated"),"Yes","No")</f>
        <v>No</v>
      </c>
      <c r="AF20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0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Status]]="Completed",AB205="NPI Match"),"Ready","Not Ready"),"Not Applicable")</f>
        <v>Ready</v>
      </c>
      <c r="AH205" s="4" t="str">
        <f>IF(OR(tblEnrollment[[#This Row],[Enrollment Type]]="ERA",tblEnrollment[[#This Row],[Enrollment Type]]="Claims and ERA"),IF(AND(tblEnrollment[[#This Row],[Credentialing Status]]="Completed",tblEnrollment[[#This Row],[ERA Enrollment Status]]="Approved",tblEnrollment[[#This Row],[Clearinghouse Configuration Status]]="Completed",AB205="NPI Match"),"Ready","Not Ready"),"Not Applicable")</f>
        <v>Ready</v>
      </c>
      <c r="AI205" s="4" t="str">
        <f>IF(tblEnrollment[[#This Row],[Blocker Reason]] ="No Blocker","No","Yes")</f>
        <v>No</v>
      </c>
    </row>
    <row r="206" spans="1:35" ht="29">
      <c r="A206" s="35" t="s">
        <v>1072</v>
      </c>
      <c r="B206" s="35" t="s">
        <v>61</v>
      </c>
      <c r="C206" s="35" t="s">
        <v>1073</v>
      </c>
      <c r="D206" s="35" t="s">
        <v>1074</v>
      </c>
      <c r="E206" s="35" t="s">
        <v>506</v>
      </c>
      <c r="F206" s="35" t="s">
        <v>506</v>
      </c>
      <c r="G206" s="35" t="s">
        <v>506</v>
      </c>
      <c r="H206" s="35" t="s">
        <v>111</v>
      </c>
      <c r="I206" s="35" t="s">
        <v>129</v>
      </c>
      <c r="J206" s="35" t="s">
        <v>134</v>
      </c>
      <c r="K206" s="35" t="s">
        <v>44</v>
      </c>
      <c r="L206" s="35" t="s">
        <v>1075</v>
      </c>
      <c r="M206" s="35" t="s">
        <v>55</v>
      </c>
      <c r="N206" s="35" t="s">
        <v>137</v>
      </c>
      <c r="O206" s="35" t="s">
        <v>57</v>
      </c>
      <c r="P206" s="35" t="s">
        <v>139</v>
      </c>
      <c r="Q206" s="35" t="s">
        <v>58</v>
      </c>
      <c r="R206" s="35" t="s">
        <v>57</v>
      </c>
      <c r="S206" s="36">
        <v>46172</v>
      </c>
      <c r="T206" s="36"/>
      <c r="U206" s="35" t="s">
        <v>56</v>
      </c>
      <c r="V206" s="35" t="s">
        <v>147</v>
      </c>
      <c r="W206" s="35" t="s">
        <v>365</v>
      </c>
      <c r="X206" s="36">
        <v>46179</v>
      </c>
      <c r="Y206" s="35" t="s">
        <v>406</v>
      </c>
      <c r="Z206" s="4">
        <f>IF(tblEnrollment[[#This Row],[Approved Date]]="",DATE(2026,6,3)-tblEnrollment[[#This Row],[Submitted Date]],tblEnrollment[[#This Row],[Approved Date]]-tblEnrollment[[#This Row],[Submitted Date]])</f>
        <v>4</v>
      </c>
      <c r="AA206" s="4" t="str">
        <f>IF(tblEnrollment[[#This Row],[Current Status]] ="Ready","Completed",IF(Z206&gt;21,"SLA Breached","Within SLA"))</f>
        <v>Within SLA</v>
      </c>
      <c r="AB206" s="4" t="str">
        <f>IF(tblEnrollment[[#This Row],[Credentialed NPI]] =tblEnrollment[[#This Row],[Enrolled NPI]],"NPI Match","NPI Mismatch")</f>
        <v>NPI Match</v>
      </c>
      <c r="AC206" s="4" t="str">
        <f>IF(OR(tblEnrollment[[#This Row],[Blocker Reason]] ="Individual NPI used instead of Group NPI",tblEnrollment[[#This Row],[Blocker Reason]] ="Credentialed NPI mismatch",tblEnrollment[[#This Row],[Blocker Reason]] ="Incorrect PTAN/Provider number"),"Yes","No")</f>
        <v>No</v>
      </c>
      <c r="AD206" s="4" t="str">
        <f>IF(OR(tblEnrollment[[#This Row],[Blocker Reason]] ="Wrong Payer ID",tblEnrollment[[#This Row],[Blocker Reason]] ="Old Payer ID used"),"Yes","No")</f>
        <v>No</v>
      </c>
      <c r="AE206" s="4" t="str">
        <f>IF(OR(tblEnrollment[[#This Row],[Clearinghouse Portal Updated]]="No",tblEnrollment[[#This Row],[Blocker Reason]] ="Clearinghouse portal not updated"),"Yes","No")</f>
        <v>Yes</v>
      </c>
      <c r="AF20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0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Status]]="Completed",AB206="NPI Match"),"Ready","Not Ready"),"Not Applicable")</f>
        <v>Not Ready</v>
      </c>
      <c r="AH206" s="4" t="str">
        <f>IF(OR(tblEnrollment[[#This Row],[Enrollment Type]]="ERA",tblEnrollment[[#This Row],[Enrollment Type]]="Claims and ERA"),IF(AND(tblEnrollment[[#This Row],[Credentialing Status]]="Completed",tblEnrollment[[#This Row],[ERA Enrollment Status]]="Approved",tblEnrollment[[#This Row],[Clearinghouse Configuration Status]]="Completed",AB206="NPI Match"),"Ready","Not Ready"),"Not Applicable")</f>
        <v>Not Applicable</v>
      </c>
      <c r="AI206" s="4" t="str">
        <f>IF(tblEnrollment[[#This Row],[Blocker Reason]] ="No Blocker","No","Yes")</f>
        <v>Yes</v>
      </c>
    </row>
    <row r="207" spans="1:35" ht="29">
      <c r="A207" s="35" t="s">
        <v>1076</v>
      </c>
      <c r="B207" s="35" t="s">
        <v>61</v>
      </c>
      <c r="C207" s="35" t="s">
        <v>1077</v>
      </c>
      <c r="D207" s="35" t="s">
        <v>1078</v>
      </c>
      <c r="E207" s="35" t="s">
        <v>529</v>
      </c>
      <c r="F207" s="35" t="s">
        <v>529</v>
      </c>
      <c r="G207" s="35" t="s">
        <v>529</v>
      </c>
      <c r="H207" s="35" t="s">
        <v>562</v>
      </c>
      <c r="I207" s="35" t="s">
        <v>43</v>
      </c>
      <c r="J207" s="35" t="s">
        <v>357</v>
      </c>
      <c r="K207" s="35" t="s">
        <v>44</v>
      </c>
      <c r="L207" s="35" t="s">
        <v>1079</v>
      </c>
      <c r="M207" s="35" t="s">
        <v>45</v>
      </c>
      <c r="N207" s="35" t="s">
        <v>46</v>
      </c>
      <c r="O207" s="35" t="s">
        <v>47</v>
      </c>
      <c r="P207" s="35" t="s">
        <v>47</v>
      </c>
      <c r="Q207" s="35" t="s">
        <v>48</v>
      </c>
      <c r="R207" s="35" t="s">
        <v>46</v>
      </c>
      <c r="S207" s="36">
        <v>46077</v>
      </c>
      <c r="T207" s="36">
        <v>46090</v>
      </c>
      <c r="U207" s="35" t="s">
        <v>49</v>
      </c>
      <c r="V207" s="35" t="s">
        <v>348</v>
      </c>
      <c r="W207" s="35" t="s">
        <v>349</v>
      </c>
      <c r="X207" s="36">
        <v>46186</v>
      </c>
      <c r="Y207" s="35" t="s">
        <v>350</v>
      </c>
      <c r="Z207" s="4">
        <f>IF(tblEnrollment[[#This Row],[Approved Date]]="",DATE(2026,6,3)-tblEnrollment[[#This Row],[Submitted Date]],tblEnrollment[[#This Row],[Approved Date]]-tblEnrollment[[#This Row],[Submitted Date]])</f>
        <v>13</v>
      </c>
      <c r="AA207" s="4" t="str">
        <f>IF(tblEnrollment[[#This Row],[Current Status]] ="Ready","Completed",IF(Z207&gt;21,"SLA Breached","Within SLA"))</f>
        <v>Completed</v>
      </c>
      <c r="AB207" s="4" t="str">
        <f>IF(tblEnrollment[[#This Row],[Credentialed NPI]] =tblEnrollment[[#This Row],[Enrolled NPI]],"NPI Match","NPI Mismatch")</f>
        <v>NPI Match</v>
      </c>
      <c r="AC207" s="4" t="str">
        <f>IF(OR(tblEnrollment[[#This Row],[Blocker Reason]] ="Individual NPI used instead of Group NPI",tblEnrollment[[#This Row],[Blocker Reason]] ="Credentialed NPI mismatch",tblEnrollment[[#This Row],[Blocker Reason]] ="Incorrect PTAN/Provider number"),"Yes","No")</f>
        <v>No</v>
      </c>
      <c r="AD207" s="4" t="str">
        <f>IF(OR(tblEnrollment[[#This Row],[Blocker Reason]] ="Wrong Payer ID",tblEnrollment[[#This Row],[Blocker Reason]] ="Old Payer ID used"),"Yes","No")</f>
        <v>No</v>
      </c>
      <c r="AE207" s="4" t="str">
        <f>IF(OR(tblEnrollment[[#This Row],[Clearinghouse Portal Updated]]="No",tblEnrollment[[#This Row],[Blocker Reason]] ="Clearinghouse portal not updated"),"Yes","No")</f>
        <v>No</v>
      </c>
      <c r="AF20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0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Status]]="Completed",AB207="NPI Match"),"Ready","Not Ready"),"Not Applicable")</f>
        <v>Ready</v>
      </c>
      <c r="AH207" s="4" t="str">
        <f>IF(OR(tblEnrollment[[#This Row],[Enrollment Type]]="ERA",tblEnrollment[[#This Row],[Enrollment Type]]="Claims and ERA"),IF(AND(tblEnrollment[[#This Row],[Credentialing Status]]="Completed",tblEnrollment[[#This Row],[ERA Enrollment Status]]="Approved",tblEnrollment[[#This Row],[Clearinghouse Configuration Status]]="Completed",AB207="NPI Match"),"Ready","Not Ready"),"Not Applicable")</f>
        <v>Ready</v>
      </c>
      <c r="AI207" s="4" t="str">
        <f>IF(tblEnrollment[[#This Row],[Blocker Reason]] ="No Blocker","No","Yes")</f>
        <v>No</v>
      </c>
    </row>
    <row r="208" spans="1:35" ht="29">
      <c r="A208" s="35" t="s">
        <v>1080</v>
      </c>
      <c r="B208" s="35" t="s">
        <v>76</v>
      </c>
      <c r="C208" s="35" t="s">
        <v>1081</v>
      </c>
      <c r="D208" s="35" t="s">
        <v>1082</v>
      </c>
      <c r="E208" s="35" t="s">
        <v>100</v>
      </c>
      <c r="F208" s="35" t="s">
        <v>100</v>
      </c>
      <c r="G208" s="35" t="s">
        <v>100</v>
      </c>
      <c r="H208" s="35" t="s">
        <v>109</v>
      </c>
      <c r="I208" s="35" t="s">
        <v>51</v>
      </c>
      <c r="J208" s="35" t="s">
        <v>52</v>
      </c>
      <c r="K208" s="35" t="s">
        <v>53</v>
      </c>
      <c r="L208" s="35" t="s">
        <v>54</v>
      </c>
      <c r="M208" s="35" t="s">
        <v>136</v>
      </c>
      <c r="N208" s="35" t="s">
        <v>46</v>
      </c>
      <c r="O208" s="35" t="s">
        <v>139</v>
      </c>
      <c r="P208" s="35" t="s">
        <v>47</v>
      </c>
      <c r="Q208" s="35" t="s">
        <v>48</v>
      </c>
      <c r="R208" s="35" t="s">
        <v>46</v>
      </c>
      <c r="S208" s="36">
        <v>46059</v>
      </c>
      <c r="T208" s="36">
        <v>46076</v>
      </c>
      <c r="U208" s="35" t="s">
        <v>49</v>
      </c>
      <c r="V208" s="35" t="s">
        <v>348</v>
      </c>
      <c r="W208" s="35" t="s">
        <v>365</v>
      </c>
      <c r="X208" s="36">
        <v>46185</v>
      </c>
      <c r="Y208" s="35" t="s">
        <v>350</v>
      </c>
      <c r="Z208" s="4">
        <f>IF(tblEnrollment[[#This Row],[Approved Date]]="",DATE(2026,6,3)-tblEnrollment[[#This Row],[Submitted Date]],tblEnrollment[[#This Row],[Approved Date]]-tblEnrollment[[#This Row],[Submitted Date]])</f>
        <v>17</v>
      </c>
      <c r="AA208" s="4" t="str">
        <f>IF(tblEnrollment[[#This Row],[Current Status]] ="Ready","Completed",IF(Z208&gt;21,"SLA Breached","Within SLA"))</f>
        <v>Completed</v>
      </c>
      <c r="AB208" s="4" t="str">
        <f>IF(tblEnrollment[[#This Row],[Credentialed NPI]] =tblEnrollment[[#This Row],[Enrolled NPI]],"NPI Match","NPI Mismatch")</f>
        <v>NPI Match</v>
      </c>
      <c r="AC208" s="4" t="str">
        <f>IF(OR(tblEnrollment[[#This Row],[Blocker Reason]] ="Individual NPI used instead of Group NPI",tblEnrollment[[#This Row],[Blocker Reason]] ="Credentialed NPI mismatch",tblEnrollment[[#This Row],[Blocker Reason]] ="Incorrect PTAN/Provider number"),"Yes","No")</f>
        <v>No</v>
      </c>
      <c r="AD208" s="4" t="str">
        <f>IF(OR(tblEnrollment[[#This Row],[Blocker Reason]] ="Wrong Payer ID",tblEnrollment[[#This Row],[Blocker Reason]] ="Old Payer ID used"),"Yes","No")</f>
        <v>No</v>
      </c>
      <c r="AE208" s="4" t="str">
        <f>IF(OR(tblEnrollment[[#This Row],[Clearinghouse Portal Updated]]="No",tblEnrollment[[#This Row],[Blocker Reason]] ="Clearinghouse portal not updated"),"Yes","No")</f>
        <v>No</v>
      </c>
      <c r="AF20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0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Status]]="Completed",AB208="NPI Match"),"Ready","Not Ready"),"Not Applicable")</f>
        <v>Not Applicable</v>
      </c>
      <c r="AH208" s="4" t="str">
        <f>IF(OR(tblEnrollment[[#This Row],[Enrollment Type]]="ERA",tblEnrollment[[#This Row],[Enrollment Type]]="Claims and ERA"),IF(AND(tblEnrollment[[#This Row],[Credentialing Status]]="Completed",tblEnrollment[[#This Row],[ERA Enrollment Status]]="Approved",tblEnrollment[[#This Row],[Clearinghouse Configuration Status]]="Completed",AB208="NPI Match"),"Ready","Not Ready"),"Not Applicable")</f>
        <v>Ready</v>
      </c>
      <c r="AI208" s="4" t="str">
        <f>IF(tblEnrollment[[#This Row],[Blocker Reason]] ="No Blocker","No","Yes")</f>
        <v>No</v>
      </c>
    </row>
    <row r="209" spans="1:35" ht="29">
      <c r="A209" s="35" t="s">
        <v>1083</v>
      </c>
      <c r="B209" s="35" t="s">
        <v>471</v>
      </c>
      <c r="C209" s="35" t="s">
        <v>1084</v>
      </c>
      <c r="D209" s="35" t="s">
        <v>1085</v>
      </c>
      <c r="E209" s="35" t="s">
        <v>93</v>
      </c>
      <c r="F209" s="35" t="s">
        <v>93</v>
      </c>
      <c r="G209" s="35" t="s">
        <v>1085</v>
      </c>
      <c r="H209" s="35" t="s">
        <v>109</v>
      </c>
      <c r="I209" s="35" t="s">
        <v>43</v>
      </c>
      <c r="J209" s="35" t="s">
        <v>357</v>
      </c>
      <c r="K209" s="35" t="s">
        <v>44</v>
      </c>
      <c r="L209" s="35" t="s">
        <v>1086</v>
      </c>
      <c r="M209" s="35" t="s">
        <v>45</v>
      </c>
      <c r="N209" s="35" t="s">
        <v>46</v>
      </c>
      <c r="O209" s="35" t="s">
        <v>138</v>
      </c>
      <c r="P209" s="35" t="s">
        <v>138</v>
      </c>
      <c r="Q209" s="35" t="s">
        <v>48</v>
      </c>
      <c r="R209" s="35" t="s">
        <v>140</v>
      </c>
      <c r="S209" s="36">
        <v>46163</v>
      </c>
      <c r="T209" s="36"/>
      <c r="U209" s="35" t="s">
        <v>141</v>
      </c>
      <c r="V209" s="35" t="s">
        <v>412</v>
      </c>
      <c r="W209" s="35" t="s">
        <v>441</v>
      </c>
      <c r="X209" s="36">
        <v>46178</v>
      </c>
      <c r="Y209" s="35" t="s">
        <v>413</v>
      </c>
      <c r="Z209" s="4">
        <f>IF(tblEnrollment[[#This Row],[Approved Date]]="",DATE(2026,6,3)-tblEnrollment[[#This Row],[Submitted Date]],tblEnrollment[[#This Row],[Approved Date]]-tblEnrollment[[#This Row],[Submitted Date]])</f>
        <v>13</v>
      </c>
      <c r="AA209" s="4" t="str">
        <f>IF(tblEnrollment[[#This Row],[Current Status]] ="Ready","Completed",IF(Z209&gt;21,"SLA Breached","Within SLA"))</f>
        <v>Within SLA</v>
      </c>
      <c r="AB209" s="4" t="str">
        <f>IF(tblEnrollment[[#This Row],[Credentialed NPI]] =tblEnrollment[[#This Row],[Enrolled NPI]],"NPI Match","NPI Mismatch")</f>
        <v>NPI Mismatch</v>
      </c>
      <c r="AC209" s="4" t="str">
        <f>IF(OR(tblEnrollment[[#This Row],[Blocker Reason]] ="Individual NPI used instead of Group NPI",tblEnrollment[[#This Row],[Blocker Reason]] ="Credentialed NPI mismatch",tblEnrollment[[#This Row],[Blocker Reason]] ="Incorrect PTAN/Provider number"),"Yes","No")</f>
        <v>Yes</v>
      </c>
      <c r="AD209" s="4" t="str">
        <f>IF(OR(tblEnrollment[[#This Row],[Blocker Reason]] ="Wrong Payer ID",tblEnrollment[[#This Row],[Blocker Reason]] ="Old Payer ID used"),"Yes","No")</f>
        <v>No</v>
      </c>
      <c r="AE209" s="4" t="str">
        <f>IF(OR(tblEnrollment[[#This Row],[Clearinghouse Portal Updated]]="No",tblEnrollment[[#This Row],[Blocker Reason]] ="Clearinghouse portal not updated"),"Yes","No")</f>
        <v>No</v>
      </c>
      <c r="AF20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0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Status]]="Completed",AB209="NPI Match"),"Ready","Not Ready"),"Not Applicable")</f>
        <v>Not Ready</v>
      </c>
      <c r="AH209" s="4" t="str">
        <f>IF(OR(tblEnrollment[[#This Row],[Enrollment Type]]="ERA",tblEnrollment[[#This Row],[Enrollment Type]]="Claims and ERA"),IF(AND(tblEnrollment[[#This Row],[Credentialing Status]]="Completed",tblEnrollment[[#This Row],[ERA Enrollment Status]]="Approved",tblEnrollment[[#This Row],[Clearinghouse Configuration Status]]="Completed",AB209="NPI Match"),"Ready","Not Ready"),"Not Applicable")</f>
        <v>Not Ready</v>
      </c>
      <c r="AI209" s="4" t="str">
        <f>IF(tblEnrollment[[#This Row],[Blocker Reason]] ="No Blocker","No","Yes")</f>
        <v>Yes</v>
      </c>
    </row>
    <row r="210" spans="1:35" ht="29">
      <c r="A210" s="35" t="s">
        <v>1087</v>
      </c>
      <c r="B210" s="35" t="s">
        <v>16</v>
      </c>
      <c r="C210" s="35" t="s">
        <v>588</v>
      </c>
      <c r="D210" s="35" t="s">
        <v>1088</v>
      </c>
      <c r="E210" s="35" t="s">
        <v>334</v>
      </c>
      <c r="F210" s="35" t="s">
        <v>334</v>
      </c>
      <c r="G210" s="35" t="s">
        <v>334</v>
      </c>
      <c r="H210" s="35" t="s">
        <v>707</v>
      </c>
      <c r="I210" s="35" t="s">
        <v>43</v>
      </c>
      <c r="J210" s="35" t="s">
        <v>357</v>
      </c>
      <c r="K210" s="35" t="s">
        <v>44</v>
      </c>
      <c r="L210" s="35" t="s">
        <v>1089</v>
      </c>
      <c r="M210" s="35" t="s">
        <v>45</v>
      </c>
      <c r="N210" s="35" t="s">
        <v>46</v>
      </c>
      <c r="O210" s="35" t="s">
        <v>47</v>
      </c>
      <c r="P210" s="35" t="s">
        <v>56</v>
      </c>
      <c r="Q210" s="35" t="s">
        <v>58</v>
      </c>
      <c r="R210" s="35" t="s">
        <v>56</v>
      </c>
      <c r="S210" s="36">
        <v>46153</v>
      </c>
      <c r="T210" s="36"/>
      <c r="U210" s="35" t="s">
        <v>56</v>
      </c>
      <c r="V210" s="35" t="s">
        <v>143</v>
      </c>
      <c r="W210" s="35" t="s">
        <v>338</v>
      </c>
      <c r="X210" s="36">
        <v>46186</v>
      </c>
      <c r="Y210" s="35" t="s">
        <v>343</v>
      </c>
      <c r="Z210" s="4">
        <f>IF(tblEnrollment[[#This Row],[Approved Date]]="",DATE(2026,6,3)-tblEnrollment[[#This Row],[Submitted Date]],tblEnrollment[[#This Row],[Approved Date]]-tblEnrollment[[#This Row],[Submitted Date]])</f>
        <v>23</v>
      </c>
      <c r="AA210" s="4" t="str">
        <f>IF(tblEnrollment[[#This Row],[Current Status]] ="Ready","Completed",IF(Z210&gt;21,"SLA Breached","Within SLA"))</f>
        <v>SLA Breached</v>
      </c>
      <c r="AB210" s="4" t="str">
        <f>IF(tblEnrollment[[#This Row],[Credentialed NPI]] =tblEnrollment[[#This Row],[Enrolled NPI]],"NPI Match","NPI Mismatch")</f>
        <v>NPI Match</v>
      </c>
      <c r="AC210" s="4" t="str">
        <f>IF(OR(tblEnrollment[[#This Row],[Blocker Reason]] ="Individual NPI used instead of Group NPI",tblEnrollment[[#This Row],[Blocker Reason]] ="Credentialed NPI mismatch",tblEnrollment[[#This Row],[Blocker Reason]] ="Incorrect PTAN/Provider number"),"Yes","No")</f>
        <v>No</v>
      </c>
      <c r="AD210" s="4" t="str">
        <f>IF(OR(tblEnrollment[[#This Row],[Blocker Reason]] ="Wrong Payer ID",tblEnrollment[[#This Row],[Blocker Reason]] ="Old Payer ID used"),"Yes","No")</f>
        <v>No</v>
      </c>
      <c r="AE210" s="4" t="str">
        <f>IF(OR(tblEnrollment[[#This Row],[Clearinghouse Portal Updated]]="No",tblEnrollment[[#This Row],[Blocker Reason]] ="Clearinghouse portal not updated"),"Yes","No")</f>
        <v>Yes</v>
      </c>
      <c r="AF21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1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Status]]="Completed",AB210="NPI Match"),"Ready","Not Ready"),"Not Applicable")</f>
        <v>Not Ready</v>
      </c>
      <c r="AH210" s="4" t="str">
        <f>IF(OR(tblEnrollment[[#This Row],[Enrollment Type]]="ERA",tblEnrollment[[#This Row],[Enrollment Type]]="Claims and ERA"),IF(AND(tblEnrollment[[#This Row],[Credentialing Status]]="Completed",tblEnrollment[[#This Row],[ERA Enrollment Status]]="Approved",tblEnrollment[[#This Row],[Clearinghouse Configuration Status]]="Completed",AB210="NPI Match"),"Ready","Not Ready"),"Not Applicable")</f>
        <v>Not Ready</v>
      </c>
      <c r="AI210" s="4" t="str">
        <f>IF(tblEnrollment[[#This Row],[Blocker Reason]] ="No Blocker","No","Yes")</f>
        <v>Yes</v>
      </c>
    </row>
    <row r="211" spans="1:35" ht="29">
      <c r="A211" s="35" t="s">
        <v>1090</v>
      </c>
      <c r="B211" s="35" t="s">
        <v>375</v>
      </c>
      <c r="C211" s="35" t="s">
        <v>1091</v>
      </c>
      <c r="D211" s="35" t="s">
        <v>1092</v>
      </c>
      <c r="E211" s="35" t="s">
        <v>464</v>
      </c>
      <c r="F211" s="35" t="s">
        <v>464</v>
      </c>
      <c r="G211" s="35" t="s">
        <v>464</v>
      </c>
      <c r="H211" s="35" t="s">
        <v>583</v>
      </c>
      <c r="I211" s="35" t="s">
        <v>130</v>
      </c>
      <c r="J211" s="35" t="s">
        <v>575</v>
      </c>
      <c r="K211" s="35" t="s">
        <v>53</v>
      </c>
      <c r="L211" s="35" t="s">
        <v>54</v>
      </c>
      <c r="M211" s="35" t="s">
        <v>136</v>
      </c>
      <c r="N211" s="35" t="s">
        <v>46</v>
      </c>
      <c r="O211" s="35" t="s">
        <v>139</v>
      </c>
      <c r="P211" s="35" t="s">
        <v>138</v>
      </c>
      <c r="Q211" s="35" t="s">
        <v>48</v>
      </c>
      <c r="R211" s="35" t="s">
        <v>140</v>
      </c>
      <c r="S211" s="36">
        <v>46078</v>
      </c>
      <c r="T211" s="36"/>
      <c r="U211" s="35" t="s">
        <v>141</v>
      </c>
      <c r="V211" s="35" t="s">
        <v>435</v>
      </c>
      <c r="W211" s="35" t="s">
        <v>349</v>
      </c>
      <c r="X211" s="36">
        <v>46187</v>
      </c>
      <c r="Y211" s="35" t="s">
        <v>436</v>
      </c>
      <c r="Z211" s="4">
        <f>IF(tblEnrollment[[#This Row],[Approved Date]]="",DATE(2026,6,3)-tblEnrollment[[#This Row],[Submitted Date]],tblEnrollment[[#This Row],[Approved Date]]-tblEnrollment[[#This Row],[Submitted Date]])</f>
        <v>98</v>
      </c>
      <c r="AA211" s="4" t="str">
        <f>IF(tblEnrollment[[#This Row],[Current Status]] ="Ready","Completed",IF(Z211&gt;21,"SLA Breached","Within SLA"))</f>
        <v>SLA Breached</v>
      </c>
      <c r="AB211" s="4" t="str">
        <f>IF(tblEnrollment[[#This Row],[Credentialed NPI]] =tblEnrollment[[#This Row],[Enrolled NPI]],"NPI Match","NPI Mismatch")</f>
        <v>NPI Match</v>
      </c>
      <c r="AC211" s="4" t="str">
        <f>IF(OR(tblEnrollment[[#This Row],[Blocker Reason]] ="Individual NPI used instead of Group NPI",tblEnrollment[[#This Row],[Blocker Reason]] ="Credentialed NPI mismatch",tblEnrollment[[#This Row],[Blocker Reason]] ="Incorrect PTAN/Provider number"),"Yes","No")</f>
        <v>No</v>
      </c>
      <c r="AD211" s="4" t="str">
        <f>IF(OR(tblEnrollment[[#This Row],[Blocker Reason]] ="Wrong Payer ID",tblEnrollment[[#This Row],[Blocker Reason]] ="Old Payer ID used"),"Yes","No")</f>
        <v>Yes</v>
      </c>
      <c r="AE211" s="4" t="str">
        <f>IF(OR(tblEnrollment[[#This Row],[Clearinghouse Portal Updated]]="No",tblEnrollment[[#This Row],[Blocker Reason]] ="Clearinghouse portal not updated"),"Yes","No")</f>
        <v>No</v>
      </c>
      <c r="AF21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1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Status]]="Completed",AB211="NPI Match"),"Ready","Not Ready"),"Not Applicable")</f>
        <v>Not Applicable</v>
      </c>
      <c r="AH211" s="4" t="str">
        <f>IF(OR(tblEnrollment[[#This Row],[Enrollment Type]]="ERA",tblEnrollment[[#This Row],[Enrollment Type]]="Claims and ERA"),IF(AND(tblEnrollment[[#This Row],[Credentialing Status]]="Completed",tblEnrollment[[#This Row],[ERA Enrollment Status]]="Approved",tblEnrollment[[#This Row],[Clearinghouse Configuration Status]]="Completed",AB211="NPI Match"),"Ready","Not Ready"),"Not Applicable")</f>
        <v>Not Ready</v>
      </c>
      <c r="AI211" s="4" t="str">
        <f>IF(tblEnrollment[[#This Row],[Blocker Reason]] ="No Blocker","No","Yes")</f>
        <v>Yes</v>
      </c>
    </row>
    <row r="212" spans="1:35" ht="29">
      <c r="A212" s="35" t="s">
        <v>1093</v>
      </c>
      <c r="B212" s="35" t="s">
        <v>78</v>
      </c>
      <c r="C212" s="35" t="s">
        <v>1094</v>
      </c>
      <c r="D212" s="35" t="s">
        <v>1095</v>
      </c>
      <c r="E212" s="35" t="s">
        <v>103</v>
      </c>
      <c r="F212" s="35" t="s">
        <v>103</v>
      </c>
      <c r="G212" s="35" t="s">
        <v>103</v>
      </c>
      <c r="H212" s="35" t="s">
        <v>847</v>
      </c>
      <c r="I212" s="35" t="s">
        <v>132</v>
      </c>
      <c r="J212" s="35" t="s">
        <v>401</v>
      </c>
      <c r="K212" s="35" t="s">
        <v>53</v>
      </c>
      <c r="L212" s="35" t="s">
        <v>54</v>
      </c>
      <c r="M212" s="35" t="s">
        <v>136</v>
      </c>
      <c r="N212" s="35" t="s">
        <v>137</v>
      </c>
      <c r="O212" s="35" t="s">
        <v>139</v>
      </c>
      <c r="P212" s="35" t="s">
        <v>57</v>
      </c>
      <c r="Q212" s="35" t="s">
        <v>58</v>
      </c>
      <c r="R212" s="35" t="s">
        <v>57</v>
      </c>
      <c r="S212" s="36">
        <v>46086</v>
      </c>
      <c r="T212" s="36"/>
      <c r="U212" s="35" t="s">
        <v>56</v>
      </c>
      <c r="V212" s="35" t="s">
        <v>147</v>
      </c>
      <c r="W212" s="35" t="s">
        <v>338</v>
      </c>
      <c r="X212" s="36">
        <v>46178</v>
      </c>
      <c r="Y212" s="35" t="s">
        <v>406</v>
      </c>
      <c r="Z212" s="4">
        <f>IF(tblEnrollment[[#This Row],[Approved Date]]="",DATE(2026,6,3)-tblEnrollment[[#This Row],[Submitted Date]],tblEnrollment[[#This Row],[Approved Date]]-tblEnrollment[[#This Row],[Submitted Date]])</f>
        <v>90</v>
      </c>
      <c r="AA212" s="4" t="str">
        <f>IF(tblEnrollment[[#This Row],[Current Status]] ="Ready","Completed",IF(Z212&gt;21,"SLA Breached","Within SLA"))</f>
        <v>SLA Breached</v>
      </c>
      <c r="AB212" s="4" t="str">
        <f>IF(tblEnrollment[[#This Row],[Credentialed NPI]] =tblEnrollment[[#This Row],[Enrolled NPI]],"NPI Match","NPI Mismatch")</f>
        <v>NPI Match</v>
      </c>
      <c r="AC212" s="4" t="str">
        <f>IF(OR(tblEnrollment[[#This Row],[Blocker Reason]] ="Individual NPI used instead of Group NPI",tblEnrollment[[#This Row],[Blocker Reason]] ="Credentialed NPI mismatch",tblEnrollment[[#This Row],[Blocker Reason]] ="Incorrect PTAN/Provider number"),"Yes","No")</f>
        <v>No</v>
      </c>
      <c r="AD212" s="4" t="str">
        <f>IF(OR(tblEnrollment[[#This Row],[Blocker Reason]] ="Wrong Payer ID",tblEnrollment[[#This Row],[Blocker Reason]] ="Old Payer ID used"),"Yes","No")</f>
        <v>No</v>
      </c>
      <c r="AE212" s="4" t="str">
        <f>IF(OR(tblEnrollment[[#This Row],[Clearinghouse Portal Updated]]="No",tblEnrollment[[#This Row],[Blocker Reason]] ="Clearinghouse portal not updated"),"Yes","No")</f>
        <v>Yes</v>
      </c>
      <c r="AF21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1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Status]]="Completed",AB212="NPI Match"),"Ready","Not Ready"),"Not Applicable")</f>
        <v>Not Applicable</v>
      </c>
      <c r="AH212" s="4" t="str">
        <f>IF(OR(tblEnrollment[[#This Row],[Enrollment Type]]="ERA",tblEnrollment[[#This Row],[Enrollment Type]]="Claims and ERA"),IF(AND(tblEnrollment[[#This Row],[Credentialing Status]]="Completed",tblEnrollment[[#This Row],[ERA Enrollment Status]]="Approved",tblEnrollment[[#This Row],[Clearinghouse Configuration Status]]="Completed",AB212="NPI Match"),"Ready","Not Ready"),"Not Applicable")</f>
        <v>Not Ready</v>
      </c>
      <c r="AI212" s="4" t="str">
        <f>IF(tblEnrollment[[#This Row],[Blocker Reason]] ="No Blocker","No","Yes")</f>
        <v>Yes</v>
      </c>
    </row>
    <row r="213" spans="1:35" ht="29">
      <c r="A213" s="35" t="s">
        <v>1096</v>
      </c>
      <c r="B213" s="35" t="s">
        <v>403</v>
      </c>
      <c r="C213" s="35" t="s">
        <v>1097</v>
      </c>
      <c r="D213" s="35" t="s">
        <v>1098</v>
      </c>
      <c r="E213" s="35" t="s">
        <v>102</v>
      </c>
      <c r="F213" s="35" t="s">
        <v>102</v>
      </c>
      <c r="G213" s="35" t="s">
        <v>102</v>
      </c>
      <c r="H213" s="35" t="s">
        <v>42</v>
      </c>
      <c r="I213" s="35" t="s">
        <v>43</v>
      </c>
      <c r="J213" s="35" t="s">
        <v>357</v>
      </c>
      <c r="K213" s="35" t="s">
        <v>44</v>
      </c>
      <c r="L213" s="35" t="s">
        <v>1099</v>
      </c>
      <c r="M213" s="35" t="s">
        <v>136</v>
      </c>
      <c r="N213" s="35" t="s">
        <v>46</v>
      </c>
      <c r="O213" s="35" t="s">
        <v>139</v>
      </c>
      <c r="P213" s="35" t="s">
        <v>47</v>
      </c>
      <c r="Q213" s="35" t="s">
        <v>48</v>
      </c>
      <c r="R213" s="35" t="s">
        <v>46</v>
      </c>
      <c r="S213" s="36">
        <v>46072</v>
      </c>
      <c r="T213" s="36">
        <v>46086</v>
      </c>
      <c r="U213" s="35" t="s">
        <v>49</v>
      </c>
      <c r="V213" s="35" t="s">
        <v>348</v>
      </c>
      <c r="W213" s="35" t="s">
        <v>365</v>
      </c>
      <c r="X213" s="36">
        <v>46181</v>
      </c>
      <c r="Y213" s="35" t="s">
        <v>350</v>
      </c>
      <c r="Z213" s="4">
        <f>IF(tblEnrollment[[#This Row],[Approved Date]]="",DATE(2026,6,3)-tblEnrollment[[#This Row],[Submitted Date]],tblEnrollment[[#This Row],[Approved Date]]-tblEnrollment[[#This Row],[Submitted Date]])</f>
        <v>14</v>
      </c>
      <c r="AA213" s="4" t="str">
        <f>IF(tblEnrollment[[#This Row],[Current Status]] ="Ready","Completed",IF(Z213&gt;21,"SLA Breached","Within SLA"))</f>
        <v>Completed</v>
      </c>
      <c r="AB213" s="4" t="str">
        <f>IF(tblEnrollment[[#This Row],[Credentialed NPI]] =tblEnrollment[[#This Row],[Enrolled NPI]],"NPI Match","NPI Mismatch")</f>
        <v>NPI Match</v>
      </c>
      <c r="AC213" s="4" t="str">
        <f>IF(OR(tblEnrollment[[#This Row],[Blocker Reason]] ="Individual NPI used instead of Group NPI",tblEnrollment[[#This Row],[Blocker Reason]] ="Credentialed NPI mismatch",tblEnrollment[[#This Row],[Blocker Reason]] ="Incorrect PTAN/Provider number"),"Yes","No")</f>
        <v>No</v>
      </c>
      <c r="AD213" s="4" t="str">
        <f>IF(OR(tblEnrollment[[#This Row],[Blocker Reason]] ="Wrong Payer ID",tblEnrollment[[#This Row],[Blocker Reason]] ="Old Payer ID used"),"Yes","No")</f>
        <v>No</v>
      </c>
      <c r="AE213" s="4" t="str">
        <f>IF(OR(tblEnrollment[[#This Row],[Clearinghouse Portal Updated]]="No",tblEnrollment[[#This Row],[Blocker Reason]] ="Clearinghouse portal not updated"),"Yes","No")</f>
        <v>No</v>
      </c>
      <c r="AF21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1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Status]]="Completed",AB213="NPI Match"),"Ready","Not Ready"),"Not Applicable")</f>
        <v>Not Applicable</v>
      </c>
      <c r="AH213" s="4" t="str">
        <f>IF(OR(tblEnrollment[[#This Row],[Enrollment Type]]="ERA",tblEnrollment[[#This Row],[Enrollment Type]]="Claims and ERA"),IF(AND(tblEnrollment[[#This Row],[Credentialing Status]]="Completed",tblEnrollment[[#This Row],[ERA Enrollment Status]]="Approved",tblEnrollment[[#This Row],[Clearinghouse Configuration Status]]="Completed",AB213="NPI Match"),"Ready","Not Ready"),"Not Applicable")</f>
        <v>Ready</v>
      </c>
      <c r="AI213" s="4" t="str">
        <f>IF(tblEnrollment[[#This Row],[Blocker Reason]] ="No Blocker","No","Yes")</f>
        <v>No</v>
      </c>
    </row>
    <row r="214" spans="1:35" ht="29">
      <c r="A214" s="35" t="s">
        <v>1100</v>
      </c>
      <c r="B214" s="35" t="s">
        <v>65</v>
      </c>
      <c r="C214" s="35" t="s">
        <v>1101</v>
      </c>
      <c r="D214" s="35" t="s">
        <v>1102</v>
      </c>
      <c r="E214" s="35" t="s">
        <v>550</v>
      </c>
      <c r="F214" s="35" t="s">
        <v>550</v>
      </c>
      <c r="G214" s="35" t="s">
        <v>550</v>
      </c>
      <c r="H214" s="35" t="s">
        <v>457</v>
      </c>
      <c r="I214" s="35" t="s">
        <v>132</v>
      </c>
      <c r="J214" s="35" t="s">
        <v>401</v>
      </c>
      <c r="K214" s="35" t="s">
        <v>53</v>
      </c>
      <c r="L214" s="35" t="s">
        <v>54</v>
      </c>
      <c r="M214" s="35" t="s">
        <v>136</v>
      </c>
      <c r="N214" s="35" t="s">
        <v>46</v>
      </c>
      <c r="O214" s="35" t="s">
        <v>139</v>
      </c>
      <c r="P214" s="35" t="s">
        <v>56</v>
      </c>
      <c r="Q214" s="35" t="s">
        <v>58</v>
      </c>
      <c r="R214" s="35" t="s">
        <v>56</v>
      </c>
      <c r="S214" s="36">
        <v>46039</v>
      </c>
      <c r="T214" s="36"/>
      <c r="U214" s="35" t="s">
        <v>56</v>
      </c>
      <c r="V214" s="35" t="s">
        <v>143</v>
      </c>
      <c r="W214" s="35" t="s">
        <v>441</v>
      </c>
      <c r="X214" s="36">
        <v>46180</v>
      </c>
      <c r="Y214" s="35" t="s">
        <v>343</v>
      </c>
      <c r="Z214" s="4">
        <f>IF(tblEnrollment[[#This Row],[Approved Date]]="",DATE(2026,6,3)-tblEnrollment[[#This Row],[Submitted Date]],tblEnrollment[[#This Row],[Approved Date]]-tblEnrollment[[#This Row],[Submitted Date]])</f>
        <v>137</v>
      </c>
      <c r="AA214" s="4" t="str">
        <f>IF(tblEnrollment[[#This Row],[Current Status]] ="Ready","Completed",IF(Z214&gt;21,"SLA Breached","Within SLA"))</f>
        <v>SLA Breached</v>
      </c>
      <c r="AB214" s="4" t="str">
        <f>IF(tblEnrollment[[#This Row],[Credentialed NPI]] =tblEnrollment[[#This Row],[Enrolled NPI]],"NPI Match","NPI Mismatch")</f>
        <v>NPI Match</v>
      </c>
      <c r="AC214" s="4" t="str">
        <f>IF(OR(tblEnrollment[[#This Row],[Blocker Reason]] ="Individual NPI used instead of Group NPI",tblEnrollment[[#This Row],[Blocker Reason]] ="Credentialed NPI mismatch",tblEnrollment[[#This Row],[Blocker Reason]] ="Incorrect PTAN/Provider number"),"Yes","No")</f>
        <v>No</v>
      </c>
      <c r="AD214" s="4" t="str">
        <f>IF(OR(tblEnrollment[[#This Row],[Blocker Reason]] ="Wrong Payer ID",tblEnrollment[[#This Row],[Blocker Reason]] ="Old Payer ID used"),"Yes","No")</f>
        <v>No</v>
      </c>
      <c r="AE214" s="4" t="str">
        <f>IF(OR(tblEnrollment[[#This Row],[Clearinghouse Portal Updated]]="No",tblEnrollment[[#This Row],[Blocker Reason]] ="Clearinghouse portal not updated"),"Yes","No")</f>
        <v>Yes</v>
      </c>
      <c r="AF21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1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Status]]="Completed",AB214="NPI Match"),"Ready","Not Ready"),"Not Applicable")</f>
        <v>Not Applicable</v>
      </c>
      <c r="AH214" s="4" t="str">
        <f>IF(OR(tblEnrollment[[#This Row],[Enrollment Type]]="ERA",tblEnrollment[[#This Row],[Enrollment Type]]="Claims and ERA"),IF(AND(tblEnrollment[[#This Row],[Credentialing Status]]="Completed",tblEnrollment[[#This Row],[ERA Enrollment Status]]="Approved",tblEnrollment[[#This Row],[Clearinghouse Configuration Status]]="Completed",AB214="NPI Match"),"Ready","Not Ready"),"Not Applicable")</f>
        <v>Not Ready</v>
      </c>
      <c r="AI214" s="4" t="str">
        <f>IF(tblEnrollment[[#This Row],[Blocker Reason]] ="No Blocker","No","Yes")</f>
        <v>Yes</v>
      </c>
    </row>
    <row r="215" spans="1:35" ht="29">
      <c r="A215" s="35" t="s">
        <v>1103</v>
      </c>
      <c r="B215" s="35" t="s">
        <v>59</v>
      </c>
      <c r="C215" s="35" t="s">
        <v>1104</v>
      </c>
      <c r="D215" s="35" t="s">
        <v>1105</v>
      </c>
      <c r="E215" s="35" t="s">
        <v>101</v>
      </c>
      <c r="F215" s="35" t="s">
        <v>101</v>
      </c>
      <c r="G215" s="35" t="s">
        <v>1106</v>
      </c>
      <c r="H215" s="35" t="s">
        <v>593</v>
      </c>
      <c r="I215" s="35" t="s">
        <v>129</v>
      </c>
      <c r="J215" s="35" t="s">
        <v>134</v>
      </c>
      <c r="K215" s="35" t="s">
        <v>44</v>
      </c>
      <c r="L215" s="35" t="s">
        <v>1107</v>
      </c>
      <c r="M215" s="35" t="s">
        <v>136</v>
      </c>
      <c r="N215" s="35" t="s">
        <v>46</v>
      </c>
      <c r="O215" s="35" t="s">
        <v>139</v>
      </c>
      <c r="P215" s="35" t="s">
        <v>138</v>
      </c>
      <c r="Q215" s="35" t="s">
        <v>48</v>
      </c>
      <c r="R215" s="35" t="s">
        <v>140</v>
      </c>
      <c r="S215" s="36">
        <v>46067</v>
      </c>
      <c r="T215" s="36"/>
      <c r="U215" s="35" t="s">
        <v>141</v>
      </c>
      <c r="V215" s="35" t="s">
        <v>144</v>
      </c>
      <c r="W215" s="35" t="s">
        <v>441</v>
      </c>
      <c r="X215" s="36">
        <v>46186</v>
      </c>
      <c r="Y215" s="35" t="s">
        <v>389</v>
      </c>
      <c r="Z215" s="4">
        <f>IF(tblEnrollment[[#This Row],[Approved Date]]="",DATE(2026,6,3)-tblEnrollment[[#This Row],[Submitted Date]],tblEnrollment[[#This Row],[Approved Date]]-tblEnrollment[[#This Row],[Submitted Date]])</f>
        <v>109</v>
      </c>
      <c r="AA215" s="4" t="str">
        <f>IF(tblEnrollment[[#This Row],[Current Status]] ="Ready","Completed",IF(Z215&gt;21,"SLA Breached","Within SLA"))</f>
        <v>SLA Breached</v>
      </c>
      <c r="AB215" s="4" t="str">
        <f>IF(tblEnrollment[[#This Row],[Credentialed NPI]] =tblEnrollment[[#This Row],[Enrolled NPI]],"NPI Match","NPI Mismatch")</f>
        <v>NPI Mismatch</v>
      </c>
      <c r="AC215" s="4" t="str">
        <f>IF(OR(tblEnrollment[[#This Row],[Blocker Reason]] ="Individual NPI used instead of Group NPI",tblEnrollment[[#This Row],[Blocker Reason]] ="Credentialed NPI mismatch",tblEnrollment[[#This Row],[Blocker Reason]] ="Incorrect PTAN/Provider number"),"Yes","No")</f>
        <v>Yes</v>
      </c>
      <c r="AD215" s="4" t="str">
        <f>IF(OR(tblEnrollment[[#This Row],[Blocker Reason]] ="Wrong Payer ID",tblEnrollment[[#This Row],[Blocker Reason]] ="Old Payer ID used"),"Yes","No")</f>
        <v>No</v>
      </c>
      <c r="AE215" s="4" t="str">
        <f>IF(OR(tblEnrollment[[#This Row],[Clearinghouse Portal Updated]]="No",tblEnrollment[[#This Row],[Blocker Reason]] ="Clearinghouse portal not updated"),"Yes","No")</f>
        <v>No</v>
      </c>
      <c r="AF21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1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Status]]="Completed",AB215="NPI Match"),"Ready","Not Ready"),"Not Applicable")</f>
        <v>Not Applicable</v>
      </c>
      <c r="AH215" s="4" t="str">
        <f>IF(OR(tblEnrollment[[#This Row],[Enrollment Type]]="ERA",tblEnrollment[[#This Row],[Enrollment Type]]="Claims and ERA"),IF(AND(tblEnrollment[[#This Row],[Credentialing Status]]="Completed",tblEnrollment[[#This Row],[ERA Enrollment Status]]="Approved",tblEnrollment[[#This Row],[Clearinghouse Configuration Status]]="Completed",AB215="NPI Match"),"Ready","Not Ready"),"Not Applicable")</f>
        <v>Not Ready</v>
      </c>
      <c r="AI215" s="4" t="str">
        <f>IF(tblEnrollment[[#This Row],[Blocker Reason]] ="No Blocker","No","Yes")</f>
        <v>Yes</v>
      </c>
    </row>
    <row r="216" spans="1:35" ht="29">
      <c r="A216" s="35" t="s">
        <v>1108</v>
      </c>
      <c r="B216" s="35" t="s">
        <v>75</v>
      </c>
      <c r="C216" s="35" t="s">
        <v>1109</v>
      </c>
      <c r="D216" s="35" t="s">
        <v>1110</v>
      </c>
      <c r="E216" s="35" t="s">
        <v>90</v>
      </c>
      <c r="F216" s="35" t="s">
        <v>90</v>
      </c>
      <c r="G216" s="35" t="s">
        <v>90</v>
      </c>
      <c r="H216" s="35" t="s">
        <v>649</v>
      </c>
      <c r="I216" s="35" t="s">
        <v>130</v>
      </c>
      <c r="J216" s="35" t="s">
        <v>575</v>
      </c>
      <c r="K216" s="35" t="s">
        <v>53</v>
      </c>
      <c r="L216" s="35" t="s">
        <v>54</v>
      </c>
      <c r="M216" s="35" t="s">
        <v>55</v>
      </c>
      <c r="N216" s="35" t="s">
        <v>46</v>
      </c>
      <c r="O216" s="35" t="s">
        <v>138</v>
      </c>
      <c r="P216" s="35" t="s">
        <v>139</v>
      </c>
      <c r="Q216" s="35" t="s">
        <v>48</v>
      </c>
      <c r="R216" s="35" t="s">
        <v>140</v>
      </c>
      <c r="S216" s="36">
        <v>46143</v>
      </c>
      <c r="T216" s="36"/>
      <c r="U216" s="35" t="s">
        <v>141</v>
      </c>
      <c r="V216" s="35" t="s">
        <v>329</v>
      </c>
      <c r="W216" s="35" t="s">
        <v>338</v>
      </c>
      <c r="X216" s="36">
        <v>46187</v>
      </c>
      <c r="Y216" s="35" t="s">
        <v>331</v>
      </c>
      <c r="Z216" s="4">
        <f>IF(tblEnrollment[[#This Row],[Approved Date]]="",DATE(2026,6,3)-tblEnrollment[[#This Row],[Submitted Date]],tblEnrollment[[#This Row],[Approved Date]]-tblEnrollment[[#This Row],[Submitted Date]])</f>
        <v>33</v>
      </c>
      <c r="AA216" s="4" t="str">
        <f>IF(tblEnrollment[[#This Row],[Current Status]] ="Ready","Completed",IF(Z216&gt;21,"SLA Breached","Within SLA"))</f>
        <v>SLA Breached</v>
      </c>
      <c r="AB216" s="4" t="str">
        <f>IF(tblEnrollment[[#This Row],[Credentialed NPI]] =tblEnrollment[[#This Row],[Enrolled NPI]],"NPI Match","NPI Mismatch")</f>
        <v>NPI Match</v>
      </c>
      <c r="AC216" s="4" t="str">
        <f>IF(OR(tblEnrollment[[#This Row],[Blocker Reason]] ="Individual NPI used instead of Group NPI",tblEnrollment[[#This Row],[Blocker Reason]] ="Credentialed NPI mismatch",tblEnrollment[[#This Row],[Blocker Reason]] ="Incorrect PTAN/Provider number"),"Yes","No")</f>
        <v>No</v>
      </c>
      <c r="AD216" s="4" t="str">
        <f>IF(OR(tblEnrollment[[#This Row],[Blocker Reason]] ="Wrong Payer ID",tblEnrollment[[#This Row],[Blocker Reason]] ="Old Payer ID used"),"Yes","No")</f>
        <v>Yes</v>
      </c>
      <c r="AE216" s="4" t="str">
        <f>IF(OR(tblEnrollment[[#This Row],[Clearinghouse Portal Updated]]="No",tblEnrollment[[#This Row],[Blocker Reason]] ="Clearinghouse portal not updated"),"Yes","No")</f>
        <v>No</v>
      </c>
      <c r="AF21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1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Status]]="Completed",AB216="NPI Match"),"Ready","Not Ready"),"Not Applicable")</f>
        <v>Not Ready</v>
      </c>
      <c r="AH216" s="4" t="str">
        <f>IF(OR(tblEnrollment[[#This Row],[Enrollment Type]]="ERA",tblEnrollment[[#This Row],[Enrollment Type]]="Claims and ERA"),IF(AND(tblEnrollment[[#This Row],[Credentialing Status]]="Completed",tblEnrollment[[#This Row],[ERA Enrollment Status]]="Approved",tblEnrollment[[#This Row],[Clearinghouse Configuration Status]]="Completed",AB216="NPI Match"),"Ready","Not Ready"),"Not Applicable")</f>
        <v>Not Applicable</v>
      </c>
      <c r="AI216" s="4" t="str">
        <f>IF(tblEnrollment[[#This Row],[Blocker Reason]] ="No Blocker","No","Yes")</f>
        <v>Yes</v>
      </c>
    </row>
    <row r="217" spans="1:35" ht="29">
      <c r="A217" s="35" t="s">
        <v>1111</v>
      </c>
      <c r="B217" s="35" t="s">
        <v>391</v>
      </c>
      <c r="C217" s="35" t="s">
        <v>1112</v>
      </c>
      <c r="D217" s="35" t="s">
        <v>1113</v>
      </c>
      <c r="E217" s="35" t="s">
        <v>456</v>
      </c>
      <c r="F217" s="35" t="s">
        <v>456</v>
      </c>
      <c r="G217" s="35" t="s">
        <v>456</v>
      </c>
      <c r="H217" s="35" t="s">
        <v>356</v>
      </c>
      <c r="I217" s="35" t="s">
        <v>132</v>
      </c>
      <c r="J217" s="35" t="s">
        <v>401</v>
      </c>
      <c r="K217" s="35" t="s">
        <v>53</v>
      </c>
      <c r="L217" s="35" t="s">
        <v>54</v>
      </c>
      <c r="M217" s="35" t="s">
        <v>55</v>
      </c>
      <c r="N217" s="35" t="s">
        <v>46</v>
      </c>
      <c r="O217" s="35" t="s">
        <v>47</v>
      </c>
      <c r="P217" s="35" t="s">
        <v>139</v>
      </c>
      <c r="Q217" s="35" t="s">
        <v>48</v>
      </c>
      <c r="R217" s="35" t="s">
        <v>46</v>
      </c>
      <c r="S217" s="36">
        <v>46057</v>
      </c>
      <c r="T217" s="36">
        <v>46072</v>
      </c>
      <c r="U217" s="35" t="s">
        <v>49</v>
      </c>
      <c r="V217" s="35" t="s">
        <v>348</v>
      </c>
      <c r="W217" s="35" t="s">
        <v>338</v>
      </c>
      <c r="X217" s="36">
        <v>46183</v>
      </c>
      <c r="Y217" s="35" t="s">
        <v>350</v>
      </c>
      <c r="Z217" s="4">
        <f>IF(tblEnrollment[[#This Row],[Approved Date]]="",DATE(2026,6,3)-tblEnrollment[[#This Row],[Submitted Date]],tblEnrollment[[#This Row],[Approved Date]]-tblEnrollment[[#This Row],[Submitted Date]])</f>
        <v>15</v>
      </c>
      <c r="AA217" s="4" t="str">
        <f>IF(tblEnrollment[[#This Row],[Current Status]] ="Ready","Completed",IF(Z217&gt;21,"SLA Breached","Within SLA"))</f>
        <v>Completed</v>
      </c>
      <c r="AB217" s="4" t="str">
        <f>IF(tblEnrollment[[#This Row],[Credentialed NPI]] =tblEnrollment[[#This Row],[Enrolled NPI]],"NPI Match","NPI Mismatch")</f>
        <v>NPI Match</v>
      </c>
      <c r="AC217" s="4" t="str">
        <f>IF(OR(tblEnrollment[[#This Row],[Blocker Reason]] ="Individual NPI used instead of Group NPI",tblEnrollment[[#This Row],[Blocker Reason]] ="Credentialed NPI mismatch",tblEnrollment[[#This Row],[Blocker Reason]] ="Incorrect PTAN/Provider number"),"Yes","No")</f>
        <v>No</v>
      </c>
      <c r="AD217" s="4" t="str">
        <f>IF(OR(tblEnrollment[[#This Row],[Blocker Reason]] ="Wrong Payer ID",tblEnrollment[[#This Row],[Blocker Reason]] ="Old Payer ID used"),"Yes","No")</f>
        <v>No</v>
      </c>
      <c r="AE217" s="4" t="str">
        <f>IF(OR(tblEnrollment[[#This Row],[Clearinghouse Portal Updated]]="No",tblEnrollment[[#This Row],[Blocker Reason]] ="Clearinghouse portal not updated"),"Yes","No")</f>
        <v>No</v>
      </c>
      <c r="AF21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1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Status]]="Completed",AB217="NPI Match"),"Ready","Not Ready"),"Not Applicable")</f>
        <v>Ready</v>
      </c>
      <c r="AH217" s="4" t="str">
        <f>IF(OR(tblEnrollment[[#This Row],[Enrollment Type]]="ERA",tblEnrollment[[#This Row],[Enrollment Type]]="Claims and ERA"),IF(AND(tblEnrollment[[#This Row],[Credentialing Status]]="Completed",tblEnrollment[[#This Row],[ERA Enrollment Status]]="Approved",tblEnrollment[[#This Row],[Clearinghouse Configuration Status]]="Completed",AB217="NPI Match"),"Ready","Not Ready"),"Not Applicable")</f>
        <v>Not Applicable</v>
      </c>
      <c r="AI217" s="4" t="str">
        <f>IF(tblEnrollment[[#This Row],[Blocker Reason]] ="No Blocker","No","Yes")</f>
        <v>No</v>
      </c>
    </row>
    <row r="218" spans="1:35" ht="29">
      <c r="A218" s="35" t="s">
        <v>1114</v>
      </c>
      <c r="B218" s="35" t="s">
        <v>60</v>
      </c>
      <c r="C218" s="35" t="s">
        <v>1115</v>
      </c>
      <c r="D218" s="35" t="s">
        <v>1116</v>
      </c>
      <c r="E218" s="35" t="s">
        <v>85</v>
      </c>
      <c r="F218" s="35" t="s">
        <v>85</v>
      </c>
      <c r="G218" s="35" t="s">
        <v>1116</v>
      </c>
      <c r="H218" s="35" t="s">
        <v>397</v>
      </c>
      <c r="I218" s="35" t="s">
        <v>132</v>
      </c>
      <c r="J218" s="35" t="s">
        <v>401</v>
      </c>
      <c r="K218" s="35" t="s">
        <v>53</v>
      </c>
      <c r="L218" s="35" t="s">
        <v>54</v>
      </c>
      <c r="M218" s="35" t="s">
        <v>45</v>
      </c>
      <c r="N218" s="35" t="s">
        <v>46</v>
      </c>
      <c r="O218" s="35" t="s">
        <v>138</v>
      </c>
      <c r="P218" s="35" t="s">
        <v>138</v>
      </c>
      <c r="Q218" s="35" t="s">
        <v>48</v>
      </c>
      <c r="R218" s="35" t="s">
        <v>140</v>
      </c>
      <c r="S218" s="36">
        <v>46174</v>
      </c>
      <c r="T218" s="36"/>
      <c r="U218" s="35" t="s">
        <v>141</v>
      </c>
      <c r="V218" s="35" t="s">
        <v>412</v>
      </c>
      <c r="W218" s="35" t="s">
        <v>365</v>
      </c>
      <c r="X218" s="36">
        <v>46178</v>
      </c>
      <c r="Y218" s="35" t="s">
        <v>413</v>
      </c>
      <c r="Z218" s="4">
        <f>IF(tblEnrollment[[#This Row],[Approved Date]]="",DATE(2026,6,3)-tblEnrollment[[#This Row],[Submitted Date]],tblEnrollment[[#This Row],[Approved Date]]-tblEnrollment[[#This Row],[Submitted Date]])</f>
        <v>2</v>
      </c>
      <c r="AA218" s="4" t="str">
        <f>IF(tblEnrollment[[#This Row],[Current Status]] ="Ready","Completed",IF(Z218&gt;21,"SLA Breached","Within SLA"))</f>
        <v>Within SLA</v>
      </c>
      <c r="AB218" s="4" t="str">
        <f>IF(tblEnrollment[[#This Row],[Credentialed NPI]] =tblEnrollment[[#This Row],[Enrolled NPI]],"NPI Match","NPI Mismatch")</f>
        <v>NPI Mismatch</v>
      </c>
      <c r="AC218" s="4" t="str">
        <f>IF(OR(tblEnrollment[[#This Row],[Blocker Reason]] ="Individual NPI used instead of Group NPI",tblEnrollment[[#This Row],[Blocker Reason]] ="Credentialed NPI mismatch",tblEnrollment[[#This Row],[Blocker Reason]] ="Incorrect PTAN/Provider number"),"Yes","No")</f>
        <v>Yes</v>
      </c>
      <c r="AD218" s="4" t="str">
        <f>IF(OR(tblEnrollment[[#This Row],[Blocker Reason]] ="Wrong Payer ID",tblEnrollment[[#This Row],[Blocker Reason]] ="Old Payer ID used"),"Yes","No")</f>
        <v>No</v>
      </c>
      <c r="AE218" s="4" t="str">
        <f>IF(OR(tblEnrollment[[#This Row],[Clearinghouse Portal Updated]]="No",tblEnrollment[[#This Row],[Blocker Reason]] ="Clearinghouse portal not updated"),"Yes","No")</f>
        <v>No</v>
      </c>
      <c r="AF21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1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Status]]="Completed",AB218="NPI Match"),"Ready","Not Ready"),"Not Applicable")</f>
        <v>Not Ready</v>
      </c>
      <c r="AH218" s="4" t="str">
        <f>IF(OR(tblEnrollment[[#This Row],[Enrollment Type]]="ERA",tblEnrollment[[#This Row],[Enrollment Type]]="Claims and ERA"),IF(AND(tblEnrollment[[#This Row],[Credentialing Status]]="Completed",tblEnrollment[[#This Row],[ERA Enrollment Status]]="Approved",tblEnrollment[[#This Row],[Clearinghouse Configuration Status]]="Completed",AB218="NPI Match"),"Ready","Not Ready"),"Not Applicable")</f>
        <v>Not Ready</v>
      </c>
      <c r="AI218" s="4" t="str">
        <f>IF(tblEnrollment[[#This Row],[Blocker Reason]] ="No Blocker","No","Yes")</f>
        <v>Yes</v>
      </c>
    </row>
    <row r="219" spans="1:35" ht="29">
      <c r="A219" s="35" t="s">
        <v>1117</v>
      </c>
      <c r="B219" s="35" t="s">
        <v>395</v>
      </c>
      <c r="C219" s="35" t="s">
        <v>1118</v>
      </c>
      <c r="D219" s="35" t="s">
        <v>1119</v>
      </c>
      <c r="E219" s="35" t="s">
        <v>89</v>
      </c>
      <c r="F219" s="35" t="s">
        <v>89</v>
      </c>
      <c r="G219" s="35" t="s">
        <v>1120</v>
      </c>
      <c r="H219" s="35" t="s">
        <v>598</v>
      </c>
      <c r="I219" s="35" t="s">
        <v>131</v>
      </c>
      <c r="J219" s="35" t="s">
        <v>342</v>
      </c>
      <c r="K219" s="35" t="s">
        <v>53</v>
      </c>
      <c r="L219" s="35" t="s">
        <v>54</v>
      </c>
      <c r="M219" s="35" t="s">
        <v>55</v>
      </c>
      <c r="N219" s="35" t="s">
        <v>46</v>
      </c>
      <c r="O219" s="35" t="s">
        <v>138</v>
      </c>
      <c r="P219" s="35" t="s">
        <v>139</v>
      </c>
      <c r="Q219" s="35" t="s">
        <v>48</v>
      </c>
      <c r="R219" s="35" t="s">
        <v>140</v>
      </c>
      <c r="S219" s="36">
        <v>46167</v>
      </c>
      <c r="T219" s="36"/>
      <c r="U219" s="35" t="s">
        <v>141</v>
      </c>
      <c r="V219" s="35" t="s">
        <v>144</v>
      </c>
      <c r="W219" s="35" t="s">
        <v>330</v>
      </c>
      <c r="X219" s="36">
        <v>46183</v>
      </c>
      <c r="Y219" s="35" t="s">
        <v>389</v>
      </c>
      <c r="Z219" s="4">
        <f>IF(tblEnrollment[[#This Row],[Approved Date]]="",DATE(2026,6,3)-tblEnrollment[[#This Row],[Submitted Date]],tblEnrollment[[#This Row],[Approved Date]]-tblEnrollment[[#This Row],[Submitted Date]])</f>
        <v>9</v>
      </c>
      <c r="AA219" s="4" t="str">
        <f>IF(tblEnrollment[[#This Row],[Current Status]] ="Ready","Completed",IF(Z219&gt;21,"SLA Breached","Within SLA"))</f>
        <v>Within SLA</v>
      </c>
      <c r="AB219" s="4" t="str">
        <f>IF(tblEnrollment[[#This Row],[Credentialed NPI]] =tblEnrollment[[#This Row],[Enrolled NPI]],"NPI Match","NPI Mismatch")</f>
        <v>NPI Mismatch</v>
      </c>
      <c r="AC219" s="4" t="str">
        <f>IF(OR(tblEnrollment[[#This Row],[Blocker Reason]] ="Individual NPI used instead of Group NPI",tblEnrollment[[#This Row],[Blocker Reason]] ="Credentialed NPI mismatch",tblEnrollment[[#This Row],[Blocker Reason]] ="Incorrect PTAN/Provider number"),"Yes","No")</f>
        <v>Yes</v>
      </c>
      <c r="AD219" s="4" t="str">
        <f>IF(OR(tblEnrollment[[#This Row],[Blocker Reason]] ="Wrong Payer ID",tblEnrollment[[#This Row],[Blocker Reason]] ="Old Payer ID used"),"Yes","No")</f>
        <v>No</v>
      </c>
      <c r="AE219" s="4" t="str">
        <f>IF(OR(tblEnrollment[[#This Row],[Clearinghouse Portal Updated]]="No",tblEnrollment[[#This Row],[Blocker Reason]] ="Clearinghouse portal not updated"),"Yes","No")</f>
        <v>No</v>
      </c>
      <c r="AF21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1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Status]]="Completed",AB219="NPI Match"),"Ready","Not Ready"),"Not Applicable")</f>
        <v>Not Ready</v>
      </c>
      <c r="AH219" s="4" t="str">
        <f>IF(OR(tblEnrollment[[#This Row],[Enrollment Type]]="ERA",tblEnrollment[[#This Row],[Enrollment Type]]="Claims and ERA"),IF(AND(tblEnrollment[[#This Row],[Credentialing Status]]="Completed",tblEnrollment[[#This Row],[ERA Enrollment Status]]="Approved",tblEnrollment[[#This Row],[Clearinghouse Configuration Status]]="Completed",AB219="NPI Match"),"Ready","Not Ready"),"Not Applicable")</f>
        <v>Not Applicable</v>
      </c>
      <c r="AI219" s="4" t="str">
        <f>IF(tblEnrollment[[#This Row],[Blocker Reason]] ="No Blocker","No","Yes")</f>
        <v>Yes</v>
      </c>
    </row>
    <row r="220" spans="1:35" ht="29">
      <c r="A220" s="35" t="s">
        <v>1121</v>
      </c>
      <c r="B220" s="35" t="s">
        <v>62</v>
      </c>
      <c r="C220" s="35" t="s">
        <v>1122</v>
      </c>
      <c r="D220" s="35" t="s">
        <v>1123</v>
      </c>
      <c r="E220" s="35" t="s">
        <v>427</v>
      </c>
      <c r="F220" s="35" t="s">
        <v>427</v>
      </c>
      <c r="G220" s="35" t="s">
        <v>1123</v>
      </c>
      <c r="H220" s="35" t="s">
        <v>371</v>
      </c>
      <c r="I220" s="35" t="s">
        <v>346</v>
      </c>
      <c r="J220" s="35" t="s">
        <v>347</v>
      </c>
      <c r="K220" s="35" t="s">
        <v>53</v>
      </c>
      <c r="L220" s="35" t="s">
        <v>54</v>
      </c>
      <c r="M220" s="35" t="s">
        <v>55</v>
      </c>
      <c r="N220" s="35" t="s">
        <v>46</v>
      </c>
      <c r="O220" s="35" t="s">
        <v>138</v>
      </c>
      <c r="P220" s="35" t="s">
        <v>139</v>
      </c>
      <c r="Q220" s="35" t="s">
        <v>48</v>
      </c>
      <c r="R220" s="35" t="s">
        <v>140</v>
      </c>
      <c r="S220" s="36">
        <v>46115</v>
      </c>
      <c r="T220" s="36"/>
      <c r="U220" s="35" t="s">
        <v>141</v>
      </c>
      <c r="V220" s="35" t="s">
        <v>412</v>
      </c>
      <c r="W220" s="35" t="s">
        <v>330</v>
      </c>
      <c r="X220" s="36">
        <v>46187</v>
      </c>
      <c r="Y220" s="35" t="s">
        <v>413</v>
      </c>
      <c r="Z220" s="4">
        <f>IF(tblEnrollment[[#This Row],[Approved Date]]="",DATE(2026,6,3)-tblEnrollment[[#This Row],[Submitted Date]],tblEnrollment[[#This Row],[Approved Date]]-tblEnrollment[[#This Row],[Submitted Date]])</f>
        <v>61</v>
      </c>
      <c r="AA220" s="4" t="str">
        <f>IF(tblEnrollment[[#This Row],[Current Status]] ="Ready","Completed",IF(Z220&gt;21,"SLA Breached","Within SLA"))</f>
        <v>SLA Breached</v>
      </c>
      <c r="AB220" s="4" t="str">
        <f>IF(tblEnrollment[[#This Row],[Credentialed NPI]] =tblEnrollment[[#This Row],[Enrolled NPI]],"NPI Match","NPI Mismatch")</f>
        <v>NPI Mismatch</v>
      </c>
      <c r="AC220" s="4" t="str">
        <f>IF(OR(tblEnrollment[[#This Row],[Blocker Reason]] ="Individual NPI used instead of Group NPI",tblEnrollment[[#This Row],[Blocker Reason]] ="Credentialed NPI mismatch",tblEnrollment[[#This Row],[Blocker Reason]] ="Incorrect PTAN/Provider number"),"Yes","No")</f>
        <v>Yes</v>
      </c>
      <c r="AD220" s="4" t="str">
        <f>IF(OR(tblEnrollment[[#This Row],[Blocker Reason]] ="Wrong Payer ID",tblEnrollment[[#This Row],[Blocker Reason]] ="Old Payer ID used"),"Yes","No")</f>
        <v>No</v>
      </c>
      <c r="AE220" s="4" t="str">
        <f>IF(OR(tblEnrollment[[#This Row],[Clearinghouse Portal Updated]]="No",tblEnrollment[[#This Row],[Blocker Reason]] ="Clearinghouse portal not updated"),"Yes","No")</f>
        <v>No</v>
      </c>
      <c r="AF22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2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Status]]="Completed",AB220="NPI Match"),"Ready","Not Ready"),"Not Applicable")</f>
        <v>Not Ready</v>
      </c>
      <c r="AH220" s="4" t="str">
        <f>IF(OR(tblEnrollment[[#This Row],[Enrollment Type]]="ERA",tblEnrollment[[#This Row],[Enrollment Type]]="Claims and ERA"),IF(AND(tblEnrollment[[#This Row],[Credentialing Status]]="Completed",tblEnrollment[[#This Row],[ERA Enrollment Status]]="Approved",tblEnrollment[[#This Row],[Clearinghouse Configuration Status]]="Completed",AB220="NPI Match"),"Ready","Not Ready"),"Not Applicable")</f>
        <v>Not Applicable</v>
      </c>
      <c r="AI220" s="4" t="str">
        <f>IF(tblEnrollment[[#This Row],[Blocker Reason]] ="No Blocker","No","Yes")</f>
        <v>Yes</v>
      </c>
    </row>
    <row r="221" spans="1:35" ht="29">
      <c r="A221" s="35" t="s">
        <v>1124</v>
      </c>
      <c r="B221" s="35" t="s">
        <v>65</v>
      </c>
      <c r="C221" s="35" t="s">
        <v>1125</v>
      </c>
      <c r="D221" s="35" t="s">
        <v>1126</v>
      </c>
      <c r="E221" s="35" t="s">
        <v>95</v>
      </c>
      <c r="F221" s="35" t="s">
        <v>95</v>
      </c>
      <c r="G221" s="35" t="s">
        <v>1126</v>
      </c>
      <c r="H221" s="35" t="s">
        <v>113</v>
      </c>
      <c r="I221" s="35" t="s">
        <v>346</v>
      </c>
      <c r="J221" s="35" t="s">
        <v>347</v>
      </c>
      <c r="K221" s="35" t="s">
        <v>53</v>
      </c>
      <c r="L221" s="35" t="s">
        <v>54</v>
      </c>
      <c r="M221" s="35" t="s">
        <v>55</v>
      </c>
      <c r="N221" s="35" t="s">
        <v>46</v>
      </c>
      <c r="O221" s="35" t="s">
        <v>138</v>
      </c>
      <c r="P221" s="35" t="s">
        <v>139</v>
      </c>
      <c r="Q221" s="35" t="s">
        <v>48</v>
      </c>
      <c r="R221" s="35" t="s">
        <v>140</v>
      </c>
      <c r="S221" s="36">
        <v>46053</v>
      </c>
      <c r="T221" s="36"/>
      <c r="U221" s="35" t="s">
        <v>141</v>
      </c>
      <c r="V221" s="35" t="s">
        <v>412</v>
      </c>
      <c r="W221" s="35" t="s">
        <v>330</v>
      </c>
      <c r="X221" s="36">
        <v>46184</v>
      </c>
      <c r="Y221" s="35" t="s">
        <v>413</v>
      </c>
      <c r="Z221" s="4">
        <f>IF(tblEnrollment[[#This Row],[Approved Date]]="",DATE(2026,6,3)-tblEnrollment[[#This Row],[Submitted Date]],tblEnrollment[[#This Row],[Approved Date]]-tblEnrollment[[#This Row],[Submitted Date]])</f>
        <v>123</v>
      </c>
      <c r="AA221" s="4" t="str">
        <f>IF(tblEnrollment[[#This Row],[Current Status]] ="Ready","Completed",IF(Z221&gt;21,"SLA Breached","Within SLA"))</f>
        <v>SLA Breached</v>
      </c>
      <c r="AB221" s="4" t="str">
        <f>IF(tblEnrollment[[#This Row],[Credentialed NPI]] =tblEnrollment[[#This Row],[Enrolled NPI]],"NPI Match","NPI Mismatch")</f>
        <v>NPI Mismatch</v>
      </c>
      <c r="AC221" s="4" t="str">
        <f>IF(OR(tblEnrollment[[#This Row],[Blocker Reason]] ="Individual NPI used instead of Group NPI",tblEnrollment[[#This Row],[Blocker Reason]] ="Credentialed NPI mismatch",tblEnrollment[[#This Row],[Blocker Reason]] ="Incorrect PTAN/Provider number"),"Yes","No")</f>
        <v>Yes</v>
      </c>
      <c r="AD221" s="4" t="str">
        <f>IF(OR(tblEnrollment[[#This Row],[Blocker Reason]] ="Wrong Payer ID",tblEnrollment[[#This Row],[Blocker Reason]] ="Old Payer ID used"),"Yes","No")</f>
        <v>No</v>
      </c>
      <c r="AE221" s="4" t="str">
        <f>IF(OR(tblEnrollment[[#This Row],[Clearinghouse Portal Updated]]="No",tblEnrollment[[#This Row],[Blocker Reason]] ="Clearinghouse portal not updated"),"Yes","No")</f>
        <v>No</v>
      </c>
      <c r="AF22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2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Status]]="Completed",AB221="NPI Match"),"Ready","Not Ready"),"Not Applicable")</f>
        <v>Not Ready</v>
      </c>
      <c r="AH221" s="4" t="str">
        <f>IF(OR(tblEnrollment[[#This Row],[Enrollment Type]]="ERA",tblEnrollment[[#This Row],[Enrollment Type]]="Claims and ERA"),IF(AND(tblEnrollment[[#This Row],[Credentialing Status]]="Completed",tblEnrollment[[#This Row],[ERA Enrollment Status]]="Approved",tblEnrollment[[#This Row],[Clearinghouse Configuration Status]]="Completed",AB221="NPI Match"),"Ready","Not Ready"),"Not Applicable")</f>
        <v>Not Applicable</v>
      </c>
      <c r="AI221" s="4" t="str">
        <f>IF(tblEnrollment[[#This Row],[Blocker Reason]] ="No Blocker","No","Yes")</f>
        <v>Yes</v>
      </c>
    </row>
    <row r="222" spans="1:35" ht="29">
      <c r="A222" s="35" t="s">
        <v>1127</v>
      </c>
      <c r="B222" s="35" t="s">
        <v>471</v>
      </c>
      <c r="C222" s="35" t="s">
        <v>1128</v>
      </c>
      <c r="D222" s="35" t="s">
        <v>1129</v>
      </c>
      <c r="E222" s="35" t="s">
        <v>100</v>
      </c>
      <c r="F222" s="35" t="s">
        <v>100</v>
      </c>
      <c r="G222" s="35" t="s">
        <v>100</v>
      </c>
      <c r="H222" s="35" t="s">
        <v>899</v>
      </c>
      <c r="I222" s="35" t="s">
        <v>130</v>
      </c>
      <c r="J222" s="35" t="s">
        <v>393</v>
      </c>
      <c r="K222" s="35" t="s">
        <v>53</v>
      </c>
      <c r="L222" s="35" t="s">
        <v>54</v>
      </c>
      <c r="M222" s="35" t="s">
        <v>55</v>
      </c>
      <c r="N222" s="35" t="s">
        <v>46</v>
      </c>
      <c r="O222" s="35" t="s">
        <v>47</v>
      </c>
      <c r="P222" s="35" t="s">
        <v>139</v>
      </c>
      <c r="Q222" s="35" t="s">
        <v>48</v>
      </c>
      <c r="R222" s="35" t="s">
        <v>46</v>
      </c>
      <c r="S222" s="36">
        <v>46144</v>
      </c>
      <c r="T222" s="36">
        <v>46156</v>
      </c>
      <c r="U222" s="35" t="s">
        <v>49</v>
      </c>
      <c r="V222" s="35" t="s">
        <v>348</v>
      </c>
      <c r="W222" s="35" t="s">
        <v>349</v>
      </c>
      <c r="X222" s="36">
        <v>46182</v>
      </c>
      <c r="Y222" s="35" t="s">
        <v>350</v>
      </c>
      <c r="Z222" s="4">
        <f>IF(tblEnrollment[[#This Row],[Approved Date]]="",DATE(2026,6,3)-tblEnrollment[[#This Row],[Submitted Date]],tblEnrollment[[#This Row],[Approved Date]]-tblEnrollment[[#This Row],[Submitted Date]])</f>
        <v>12</v>
      </c>
      <c r="AA222" s="4" t="str">
        <f>IF(tblEnrollment[[#This Row],[Current Status]] ="Ready","Completed",IF(Z222&gt;21,"SLA Breached","Within SLA"))</f>
        <v>Completed</v>
      </c>
      <c r="AB222" s="4" t="str">
        <f>IF(tblEnrollment[[#This Row],[Credentialed NPI]] =tblEnrollment[[#This Row],[Enrolled NPI]],"NPI Match","NPI Mismatch")</f>
        <v>NPI Match</v>
      </c>
      <c r="AC222" s="4" t="str">
        <f>IF(OR(tblEnrollment[[#This Row],[Blocker Reason]] ="Individual NPI used instead of Group NPI",tblEnrollment[[#This Row],[Blocker Reason]] ="Credentialed NPI mismatch",tblEnrollment[[#This Row],[Blocker Reason]] ="Incorrect PTAN/Provider number"),"Yes","No")</f>
        <v>No</v>
      </c>
      <c r="AD222" s="4" t="str">
        <f>IF(OR(tblEnrollment[[#This Row],[Blocker Reason]] ="Wrong Payer ID",tblEnrollment[[#This Row],[Blocker Reason]] ="Old Payer ID used"),"Yes","No")</f>
        <v>No</v>
      </c>
      <c r="AE222" s="4" t="str">
        <f>IF(OR(tblEnrollment[[#This Row],[Clearinghouse Portal Updated]]="No",tblEnrollment[[#This Row],[Blocker Reason]] ="Clearinghouse portal not updated"),"Yes","No")</f>
        <v>No</v>
      </c>
      <c r="AF22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2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Status]]="Completed",AB222="NPI Match"),"Ready","Not Ready"),"Not Applicable")</f>
        <v>Ready</v>
      </c>
      <c r="AH222" s="4" t="str">
        <f>IF(OR(tblEnrollment[[#This Row],[Enrollment Type]]="ERA",tblEnrollment[[#This Row],[Enrollment Type]]="Claims and ERA"),IF(AND(tblEnrollment[[#This Row],[Credentialing Status]]="Completed",tblEnrollment[[#This Row],[ERA Enrollment Status]]="Approved",tblEnrollment[[#This Row],[Clearinghouse Configuration Status]]="Completed",AB222="NPI Match"),"Ready","Not Ready"),"Not Applicable")</f>
        <v>Not Applicable</v>
      </c>
      <c r="AI222" s="4" t="str">
        <f>IF(tblEnrollment[[#This Row],[Blocker Reason]] ="No Blocker","No","Yes")</f>
        <v>No</v>
      </c>
    </row>
    <row r="223" spans="1:35" ht="29">
      <c r="A223" s="35" t="s">
        <v>1130</v>
      </c>
      <c r="B223" s="35" t="s">
        <v>69</v>
      </c>
      <c r="C223" s="35" t="s">
        <v>1131</v>
      </c>
      <c r="D223" s="35" t="s">
        <v>1132</v>
      </c>
      <c r="E223" s="35" t="s">
        <v>456</v>
      </c>
      <c r="F223" s="35" t="s">
        <v>456</v>
      </c>
      <c r="G223" s="35" t="s">
        <v>456</v>
      </c>
      <c r="H223" s="35" t="s">
        <v>371</v>
      </c>
      <c r="I223" s="35" t="s">
        <v>132</v>
      </c>
      <c r="J223" s="35" t="s">
        <v>401</v>
      </c>
      <c r="K223" s="35" t="s">
        <v>53</v>
      </c>
      <c r="L223" s="35" t="s">
        <v>54</v>
      </c>
      <c r="M223" s="35" t="s">
        <v>45</v>
      </c>
      <c r="N223" s="35" t="s">
        <v>137</v>
      </c>
      <c r="O223" s="35" t="s">
        <v>57</v>
      </c>
      <c r="P223" s="35" t="s">
        <v>57</v>
      </c>
      <c r="Q223" s="35" t="s">
        <v>58</v>
      </c>
      <c r="R223" s="35" t="s">
        <v>57</v>
      </c>
      <c r="S223" s="36">
        <v>46126</v>
      </c>
      <c r="T223" s="36"/>
      <c r="U223" s="35" t="s">
        <v>56</v>
      </c>
      <c r="V223" s="35" t="s">
        <v>147</v>
      </c>
      <c r="W223" s="35" t="s">
        <v>365</v>
      </c>
      <c r="X223" s="36">
        <v>46177</v>
      </c>
      <c r="Y223" s="35" t="s">
        <v>406</v>
      </c>
      <c r="Z223" s="4">
        <f>IF(tblEnrollment[[#This Row],[Approved Date]]="",DATE(2026,6,3)-tblEnrollment[[#This Row],[Submitted Date]],tblEnrollment[[#This Row],[Approved Date]]-tblEnrollment[[#This Row],[Submitted Date]])</f>
        <v>50</v>
      </c>
      <c r="AA223" s="4" t="str">
        <f>IF(tblEnrollment[[#This Row],[Current Status]] ="Ready","Completed",IF(Z223&gt;21,"SLA Breached","Within SLA"))</f>
        <v>SLA Breached</v>
      </c>
      <c r="AB223" s="4" t="str">
        <f>IF(tblEnrollment[[#This Row],[Credentialed NPI]] =tblEnrollment[[#This Row],[Enrolled NPI]],"NPI Match","NPI Mismatch")</f>
        <v>NPI Match</v>
      </c>
      <c r="AC223" s="4" t="str">
        <f>IF(OR(tblEnrollment[[#This Row],[Blocker Reason]] ="Individual NPI used instead of Group NPI",tblEnrollment[[#This Row],[Blocker Reason]] ="Credentialed NPI mismatch",tblEnrollment[[#This Row],[Blocker Reason]] ="Incorrect PTAN/Provider number"),"Yes","No")</f>
        <v>No</v>
      </c>
      <c r="AD223" s="4" t="str">
        <f>IF(OR(tblEnrollment[[#This Row],[Blocker Reason]] ="Wrong Payer ID",tblEnrollment[[#This Row],[Blocker Reason]] ="Old Payer ID used"),"Yes","No")</f>
        <v>No</v>
      </c>
      <c r="AE223" s="4" t="str">
        <f>IF(OR(tblEnrollment[[#This Row],[Clearinghouse Portal Updated]]="No",tblEnrollment[[#This Row],[Blocker Reason]] ="Clearinghouse portal not updated"),"Yes","No")</f>
        <v>Yes</v>
      </c>
      <c r="AF22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2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Status]]="Completed",AB223="NPI Match"),"Ready","Not Ready"),"Not Applicable")</f>
        <v>Not Ready</v>
      </c>
      <c r="AH223" s="4" t="str">
        <f>IF(OR(tblEnrollment[[#This Row],[Enrollment Type]]="ERA",tblEnrollment[[#This Row],[Enrollment Type]]="Claims and ERA"),IF(AND(tblEnrollment[[#This Row],[Credentialing Status]]="Completed",tblEnrollment[[#This Row],[ERA Enrollment Status]]="Approved",tblEnrollment[[#This Row],[Clearinghouse Configuration Status]]="Completed",AB223="NPI Match"),"Ready","Not Ready"),"Not Applicable")</f>
        <v>Not Ready</v>
      </c>
      <c r="AI223" s="4" t="str">
        <f>IF(tblEnrollment[[#This Row],[Blocker Reason]] ="No Blocker","No","Yes")</f>
        <v>Yes</v>
      </c>
    </row>
    <row r="224" spans="1:35" ht="29">
      <c r="A224" s="35" t="s">
        <v>1133</v>
      </c>
      <c r="B224" s="35" t="s">
        <v>72</v>
      </c>
      <c r="C224" s="35" t="s">
        <v>421</v>
      </c>
      <c r="D224" s="35" t="s">
        <v>1134</v>
      </c>
      <c r="E224" s="35" t="s">
        <v>96</v>
      </c>
      <c r="F224" s="35" t="s">
        <v>96</v>
      </c>
      <c r="G224" s="35" t="s">
        <v>96</v>
      </c>
      <c r="H224" s="35" t="s">
        <v>382</v>
      </c>
      <c r="I224" s="35" t="s">
        <v>132</v>
      </c>
      <c r="J224" s="35" t="s">
        <v>401</v>
      </c>
      <c r="K224" s="35" t="s">
        <v>53</v>
      </c>
      <c r="L224" s="35" t="s">
        <v>54</v>
      </c>
      <c r="M224" s="35" t="s">
        <v>55</v>
      </c>
      <c r="N224" s="35" t="s">
        <v>46</v>
      </c>
      <c r="O224" s="35" t="s">
        <v>47</v>
      </c>
      <c r="P224" s="35" t="s">
        <v>139</v>
      </c>
      <c r="Q224" s="35" t="s">
        <v>48</v>
      </c>
      <c r="R224" s="35" t="s">
        <v>46</v>
      </c>
      <c r="S224" s="36">
        <v>46113</v>
      </c>
      <c r="T224" s="36">
        <v>46127</v>
      </c>
      <c r="U224" s="35" t="s">
        <v>49</v>
      </c>
      <c r="V224" s="35" t="s">
        <v>348</v>
      </c>
      <c r="W224" s="35" t="s">
        <v>338</v>
      </c>
      <c r="X224" s="36">
        <v>46186</v>
      </c>
      <c r="Y224" s="35" t="s">
        <v>350</v>
      </c>
      <c r="Z224" s="4">
        <f>IF(tblEnrollment[[#This Row],[Approved Date]]="",DATE(2026,6,3)-tblEnrollment[[#This Row],[Submitted Date]],tblEnrollment[[#This Row],[Approved Date]]-tblEnrollment[[#This Row],[Submitted Date]])</f>
        <v>14</v>
      </c>
      <c r="AA224" s="4" t="str">
        <f>IF(tblEnrollment[[#This Row],[Current Status]] ="Ready","Completed",IF(Z224&gt;21,"SLA Breached","Within SLA"))</f>
        <v>Completed</v>
      </c>
      <c r="AB224" s="4" t="str">
        <f>IF(tblEnrollment[[#This Row],[Credentialed NPI]] =tblEnrollment[[#This Row],[Enrolled NPI]],"NPI Match","NPI Mismatch")</f>
        <v>NPI Match</v>
      </c>
      <c r="AC224" s="4" t="str">
        <f>IF(OR(tblEnrollment[[#This Row],[Blocker Reason]] ="Individual NPI used instead of Group NPI",tblEnrollment[[#This Row],[Blocker Reason]] ="Credentialed NPI mismatch",tblEnrollment[[#This Row],[Blocker Reason]] ="Incorrect PTAN/Provider number"),"Yes","No")</f>
        <v>No</v>
      </c>
      <c r="AD224" s="4" t="str">
        <f>IF(OR(tblEnrollment[[#This Row],[Blocker Reason]] ="Wrong Payer ID",tblEnrollment[[#This Row],[Blocker Reason]] ="Old Payer ID used"),"Yes","No")</f>
        <v>No</v>
      </c>
      <c r="AE224" s="4" t="str">
        <f>IF(OR(tblEnrollment[[#This Row],[Clearinghouse Portal Updated]]="No",tblEnrollment[[#This Row],[Blocker Reason]] ="Clearinghouse portal not updated"),"Yes","No")</f>
        <v>No</v>
      </c>
      <c r="AF22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2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Status]]="Completed",AB224="NPI Match"),"Ready","Not Ready"),"Not Applicable")</f>
        <v>Ready</v>
      </c>
      <c r="AH224" s="4" t="str">
        <f>IF(OR(tblEnrollment[[#This Row],[Enrollment Type]]="ERA",tblEnrollment[[#This Row],[Enrollment Type]]="Claims and ERA"),IF(AND(tblEnrollment[[#This Row],[Credentialing Status]]="Completed",tblEnrollment[[#This Row],[ERA Enrollment Status]]="Approved",tblEnrollment[[#This Row],[Clearinghouse Configuration Status]]="Completed",AB224="NPI Match"),"Ready","Not Ready"),"Not Applicable")</f>
        <v>Not Applicable</v>
      </c>
      <c r="AI224" s="4" t="str">
        <f>IF(tblEnrollment[[#This Row],[Blocker Reason]] ="No Blocker","No","Yes")</f>
        <v>No</v>
      </c>
    </row>
    <row r="225" spans="1:35" ht="29">
      <c r="A225" s="35" t="s">
        <v>1135</v>
      </c>
      <c r="B225" s="35" t="s">
        <v>73</v>
      </c>
      <c r="C225" s="35" t="s">
        <v>1136</v>
      </c>
      <c r="D225" s="35" t="s">
        <v>1137</v>
      </c>
      <c r="E225" s="35" t="s">
        <v>96</v>
      </c>
      <c r="F225" s="35" t="s">
        <v>96</v>
      </c>
      <c r="G225" s="35" t="s">
        <v>96</v>
      </c>
      <c r="H225" s="35" t="s">
        <v>555</v>
      </c>
      <c r="I225" s="35" t="s">
        <v>129</v>
      </c>
      <c r="J225" s="35" t="s">
        <v>134</v>
      </c>
      <c r="K225" s="35" t="s">
        <v>44</v>
      </c>
      <c r="L225" s="35" t="s">
        <v>1138</v>
      </c>
      <c r="M225" s="35" t="s">
        <v>45</v>
      </c>
      <c r="N225" s="35" t="s">
        <v>46</v>
      </c>
      <c r="O225" s="35" t="s">
        <v>47</v>
      </c>
      <c r="P225" s="35" t="s">
        <v>47</v>
      </c>
      <c r="Q225" s="35" t="s">
        <v>48</v>
      </c>
      <c r="R225" s="35" t="s">
        <v>46</v>
      </c>
      <c r="S225" s="36">
        <v>46085</v>
      </c>
      <c r="T225" s="36">
        <v>46103</v>
      </c>
      <c r="U225" s="35" t="s">
        <v>49</v>
      </c>
      <c r="V225" s="35" t="s">
        <v>348</v>
      </c>
      <c r="W225" s="35" t="s">
        <v>330</v>
      </c>
      <c r="X225" s="36">
        <v>46177</v>
      </c>
      <c r="Y225" s="35" t="s">
        <v>350</v>
      </c>
      <c r="Z225" s="4">
        <f>IF(tblEnrollment[[#This Row],[Approved Date]]="",DATE(2026,6,3)-tblEnrollment[[#This Row],[Submitted Date]],tblEnrollment[[#This Row],[Approved Date]]-tblEnrollment[[#This Row],[Submitted Date]])</f>
        <v>18</v>
      </c>
      <c r="AA225" s="4" t="str">
        <f>IF(tblEnrollment[[#This Row],[Current Status]] ="Ready","Completed",IF(Z225&gt;21,"SLA Breached","Within SLA"))</f>
        <v>Completed</v>
      </c>
      <c r="AB225" s="4" t="str">
        <f>IF(tblEnrollment[[#This Row],[Credentialed NPI]] =tblEnrollment[[#This Row],[Enrolled NPI]],"NPI Match","NPI Mismatch")</f>
        <v>NPI Match</v>
      </c>
      <c r="AC225" s="4" t="str">
        <f>IF(OR(tblEnrollment[[#This Row],[Blocker Reason]] ="Individual NPI used instead of Group NPI",tblEnrollment[[#This Row],[Blocker Reason]] ="Credentialed NPI mismatch",tblEnrollment[[#This Row],[Blocker Reason]] ="Incorrect PTAN/Provider number"),"Yes","No")</f>
        <v>No</v>
      </c>
      <c r="AD225" s="4" t="str">
        <f>IF(OR(tblEnrollment[[#This Row],[Blocker Reason]] ="Wrong Payer ID",tblEnrollment[[#This Row],[Blocker Reason]] ="Old Payer ID used"),"Yes","No")</f>
        <v>No</v>
      </c>
      <c r="AE225" s="4" t="str">
        <f>IF(OR(tblEnrollment[[#This Row],[Clearinghouse Portal Updated]]="No",tblEnrollment[[#This Row],[Blocker Reason]] ="Clearinghouse portal not updated"),"Yes","No")</f>
        <v>No</v>
      </c>
      <c r="AF22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2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Status]]="Completed",AB225="NPI Match"),"Ready","Not Ready"),"Not Applicable")</f>
        <v>Ready</v>
      </c>
      <c r="AH225" s="4" t="str">
        <f>IF(OR(tblEnrollment[[#This Row],[Enrollment Type]]="ERA",tblEnrollment[[#This Row],[Enrollment Type]]="Claims and ERA"),IF(AND(tblEnrollment[[#This Row],[Credentialing Status]]="Completed",tblEnrollment[[#This Row],[ERA Enrollment Status]]="Approved",tblEnrollment[[#This Row],[Clearinghouse Configuration Status]]="Completed",AB225="NPI Match"),"Ready","Not Ready"),"Not Applicable")</f>
        <v>Ready</v>
      </c>
      <c r="AI225" s="4" t="str">
        <f>IF(tblEnrollment[[#This Row],[Blocker Reason]] ="No Blocker","No","Yes")</f>
        <v>No</v>
      </c>
    </row>
    <row r="226" spans="1:35" ht="29">
      <c r="A226" s="35" t="s">
        <v>1139</v>
      </c>
      <c r="B226" s="35" t="s">
        <v>75</v>
      </c>
      <c r="C226" s="35" t="s">
        <v>1140</v>
      </c>
      <c r="D226" s="35" t="s">
        <v>1141</v>
      </c>
      <c r="E226" s="35" t="s">
        <v>95</v>
      </c>
      <c r="F226" s="35" t="s">
        <v>95</v>
      </c>
      <c r="G226" s="35" t="s">
        <v>95</v>
      </c>
      <c r="H226" s="35" t="s">
        <v>847</v>
      </c>
      <c r="I226" s="35" t="s">
        <v>43</v>
      </c>
      <c r="J226" s="35" t="s">
        <v>357</v>
      </c>
      <c r="K226" s="35" t="s">
        <v>44</v>
      </c>
      <c r="L226" s="35" t="s">
        <v>1142</v>
      </c>
      <c r="M226" s="35" t="s">
        <v>55</v>
      </c>
      <c r="N226" s="35" t="s">
        <v>46</v>
      </c>
      <c r="O226" s="35" t="s">
        <v>47</v>
      </c>
      <c r="P226" s="35" t="s">
        <v>139</v>
      </c>
      <c r="Q226" s="35" t="s">
        <v>48</v>
      </c>
      <c r="R226" s="35" t="s">
        <v>46</v>
      </c>
      <c r="S226" s="36">
        <v>46049</v>
      </c>
      <c r="T226" s="36">
        <v>46059</v>
      </c>
      <c r="U226" s="35" t="s">
        <v>49</v>
      </c>
      <c r="V226" s="35" t="s">
        <v>348</v>
      </c>
      <c r="W226" s="35" t="s">
        <v>330</v>
      </c>
      <c r="X226" s="36">
        <v>46187</v>
      </c>
      <c r="Y226" s="35" t="s">
        <v>350</v>
      </c>
      <c r="Z226" s="4">
        <f>IF(tblEnrollment[[#This Row],[Approved Date]]="",DATE(2026,6,3)-tblEnrollment[[#This Row],[Submitted Date]],tblEnrollment[[#This Row],[Approved Date]]-tblEnrollment[[#This Row],[Submitted Date]])</f>
        <v>10</v>
      </c>
      <c r="AA226" s="4" t="str">
        <f>IF(tblEnrollment[[#This Row],[Current Status]] ="Ready","Completed",IF(Z226&gt;21,"SLA Breached","Within SLA"))</f>
        <v>Completed</v>
      </c>
      <c r="AB226" s="4" t="str">
        <f>IF(tblEnrollment[[#This Row],[Credentialed NPI]] =tblEnrollment[[#This Row],[Enrolled NPI]],"NPI Match","NPI Mismatch")</f>
        <v>NPI Match</v>
      </c>
      <c r="AC226" s="4" t="str">
        <f>IF(OR(tblEnrollment[[#This Row],[Blocker Reason]] ="Individual NPI used instead of Group NPI",tblEnrollment[[#This Row],[Blocker Reason]] ="Credentialed NPI mismatch",tblEnrollment[[#This Row],[Blocker Reason]] ="Incorrect PTAN/Provider number"),"Yes","No")</f>
        <v>No</v>
      </c>
      <c r="AD226" s="4" t="str">
        <f>IF(OR(tblEnrollment[[#This Row],[Blocker Reason]] ="Wrong Payer ID",tblEnrollment[[#This Row],[Blocker Reason]] ="Old Payer ID used"),"Yes","No")</f>
        <v>No</v>
      </c>
      <c r="AE226" s="4" t="str">
        <f>IF(OR(tblEnrollment[[#This Row],[Clearinghouse Portal Updated]]="No",tblEnrollment[[#This Row],[Blocker Reason]] ="Clearinghouse portal not updated"),"Yes","No")</f>
        <v>No</v>
      </c>
      <c r="AF22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2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Status]]="Completed",AB226="NPI Match"),"Ready","Not Ready"),"Not Applicable")</f>
        <v>Ready</v>
      </c>
      <c r="AH226" s="4" t="str">
        <f>IF(OR(tblEnrollment[[#This Row],[Enrollment Type]]="ERA",tblEnrollment[[#This Row],[Enrollment Type]]="Claims and ERA"),IF(AND(tblEnrollment[[#This Row],[Credentialing Status]]="Completed",tblEnrollment[[#This Row],[ERA Enrollment Status]]="Approved",tblEnrollment[[#This Row],[Clearinghouse Configuration Status]]="Completed",AB226="NPI Match"),"Ready","Not Ready"),"Not Applicable")</f>
        <v>Not Applicable</v>
      </c>
      <c r="AI226" s="4" t="str">
        <f>IF(tblEnrollment[[#This Row],[Blocker Reason]] ="No Blocker","No","Yes")</f>
        <v>No</v>
      </c>
    </row>
    <row r="227" spans="1:35" ht="29">
      <c r="A227" s="35" t="s">
        <v>1143</v>
      </c>
      <c r="B227" s="35" t="s">
        <v>70</v>
      </c>
      <c r="C227" s="35" t="s">
        <v>1144</v>
      </c>
      <c r="D227" s="35" t="s">
        <v>1145</v>
      </c>
      <c r="E227" s="35" t="s">
        <v>95</v>
      </c>
      <c r="F227" s="35" t="s">
        <v>95</v>
      </c>
      <c r="G227" s="35" t="s">
        <v>95</v>
      </c>
      <c r="H227" s="35" t="s">
        <v>1022</v>
      </c>
      <c r="I227" s="35" t="s">
        <v>132</v>
      </c>
      <c r="J227" s="35" t="s">
        <v>401</v>
      </c>
      <c r="K227" s="35" t="s">
        <v>53</v>
      </c>
      <c r="L227" s="35" t="s">
        <v>54</v>
      </c>
      <c r="M227" s="35" t="s">
        <v>45</v>
      </c>
      <c r="N227" s="35" t="s">
        <v>46</v>
      </c>
      <c r="O227" s="35" t="s">
        <v>47</v>
      </c>
      <c r="P227" s="35" t="s">
        <v>47</v>
      </c>
      <c r="Q227" s="35" t="s">
        <v>48</v>
      </c>
      <c r="R227" s="35" t="s">
        <v>46</v>
      </c>
      <c r="S227" s="36">
        <v>46165</v>
      </c>
      <c r="T227" s="36">
        <v>46176</v>
      </c>
      <c r="U227" s="35" t="s">
        <v>49</v>
      </c>
      <c r="V227" s="35" t="s">
        <v>348</v>
      </c>
      <c r="W227" s="35" t="s">
        <v>338</v>
      </c>
      <c r="X227" s="36">
        <v>46179</v>
      </c>
      <c r="Y227" s="35" t="s">
        <v>350</v>
      </c>
      <c r="Z227" s="4">
        <f>IF(tblEnrollment[[#This Row],[Approved Date]]="",DATE(2026,6,3)-tblEnrollment[[#This Row],[Submitted Date]],tblEnrollment[[#This Row],[Approved Date]]-tblEnrollment[[#This Row],[Submitted Date]])</f>
        <v>11</v>
      </c>
      <c r="AA227" s="4" t="str">
        <f>IF(tblEnrollment[[#This Row],[Current Status]] ="Ready","Completed",IF(Z227&gt;21,"SLA Breached","Within SLA"))</f>
        <v>Completed</v>
      </c>
      <c r="AB227" s="4" t="str">
        <f>IF(tblEnrollment[[#This Row],[Credentialed NPI]] =tblEnrollment[[#This Row],[Enrolled NPI]],"NPI Match","NPI Mismatch")</f>
        <v>NPI Match</v>
      </c>
      <c r="AC227" s="4" t="str">
        <f>IF(OR(tblEnrollment[[#This Row],[Blocker Reason]] ="Individual NPI used instead of Group NPI",tblEnrollment[[#This Row],[Blocker Reason]] ="Credentialed NPI mismatch",tblEnrollment[[#This Row],[Blocker Reason]] ="Incorrect PTAN/Provider number"),"Yes","No")</f>
        <v>No</v>
      </c>
      <c r="AD227" s="4" t="str">
        <f>IF(OR(tblEnrollment[[#This Row],[Blocker Reason]] ="Wrong Payer ID",tblEnrollment[[#This Row],[Blocker Reason]] ="Old Payer ID used"),"Yes","No")</f>
        <v>No</v>
      </c>
      <c r="AE227" s="4" t="str">
        <f>IF(OR(tblEnrollment[[#This Row],[Clearinghouse Portal Updated]]="No",tblEnrollment[[#This Row],[Blocker Reason]] ="Clearinghouse portal not updated"),"Yes","No")</f>
        <v>No</v>
      </c>
      <c r="AF22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2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Status]]="Completed",AB227="NPI Match"),"Ready","Not Ready"),"Not Applicable")</f>
        <v>Ready</v>
      </c>
      <c r="AH227" s="4" t="str">
        <f>IF(OR(tblEnrollment[[#This Row],[Enrollment Type]]="ERA",tblEnrollment[[#This Row],[Enrollment Type]]="Claims and ERA"),IF(AND(tblEnrollment[[#This Row],[Credentialing Status]]="Completed",tblEnrollment[[#This Row],[ERA Enrollment Status]]="Approved",tblEnrollment[[#This Row],[Clearinghouse Configuration Status]]="Completed",AB227="NPI Match"),"Ready","Not Ready"),"Not Applicable")</f>
        <v>Ready</v>
      </c>
      <c r="AI227" s="4" t="str">
        <f>IF(tblEnrollment[[#This Row],[Blocker Reason]] ="No Blocker","No","Yes")</f>
        <v>No</v>
      </c>
    </row>
    <row r="228" spans="1:35" ht="29">
      <c r="A228" s="35" t="s">
        <v>1146</v>
      </c>
      <c r="B228" s="35" t="s">
        <v>74</v>
      </c>
      <c r="C228" s="35" t="s">
        <v>1147</v>
      </c>
      <c r="D228" s="35" t="s">
        <v>1148</v>
      </c>
      <c r="E228" s="35" t="s">
        <v>478</v>
      </c>
      <c r="F228" s="35" t="s">
        <v>478</v>
      </c>
      <c r="G228" s="35" t="s">
        <v>478</v>
      </c>
      <c r="H228" s="35" t="s">
        <v>742</v>
      </c>
      <c r="I228" s="35" t="s">
        <v>132</v>
      </c>
      <c r="J228" s="35" t="s">
        <v>401</v>
      </c>
      <c r="K228" s="35" t="s">
        <v>53</v>
      </c>
      <c r="L228" s="35" t="s">
        <v>54</v>
      </c>
      <c r="M228" s="35" t="s">
        <v>136</v>
      </c>
      <c r="N228" s="35" t="s">
        <v>46</v>
      </c>
      <c r="O228" s="35" t="s">
        <v>139</v>
      </c>
      <c r="P228" s="35" t="s">
        <v>56</v>
      </c>
      <c r="Q228" s="35" t="s">
        <v>58</v>
      </c>
      <c r="R228" s="35" t="s">
        <v>56</v>
      </c>
      <c r="S228" s="36">
        <v>46073</v>
      </c>
      <c r="T228" s="36"/>
      <c r="U228" s="35" t="s">
        <v>56</v>
      </c>
      <c r="V228" s="35" t="s">
        <v>143</v>
      </c>
      <c r="W228" s="35" t="s">
        <v>338</v>
      </c>
      <c r="X228" s="36">
        <v>46186</v>
      </c>
      <c r="Y228" s="35" t="s">
        <v>343</v>
      </c>
      <c r="Z228" s="4">
        <f>IF(tblEnrollment[[#This Row],[Approved Date]]="",DATE(2026,6,3)-tblEnrollment[[#This Row],[Submitted Date]],tblEnrollment[[#This Row],[Approved Date]]-tblEnrollment[[#This Row],[Submitted Date]])</f>
        <v>103</v>
      </c>
      <c r="AA228" s="4" t="str">
        <f>IF(tblEnrollment[[#This Row],[Current Status]] ="Ready","Completed",IF(Z228&gt;21,"SLA Breached","Within SLA"))</f>
        <v>SLA Breached</v>
      </c>
      <c r="AB228" s="4" t="str">
        <f>IF(tblEnrollment[[#This Row],[Credentialed NPI]] =tblEnrollment[[#This Row],[Enrolled NPI]],"NPI Match","NPI Mismatch")</f>
        <v>NPI Match</v>
      </c>
      <c r="AC228" s="4" t="str">
        <f>IF(OR(tblEnrollment[[#This Row],[Blocker Reason]] ="Individual NPI used instead of Group NPI",tblEnrollment[[#This Row],[Blocker Reason]] ="Credentialed NPI mismatch",tblEnrollment[[#This Row],[Blocker Reason]] ="Incorrect PTAN/Provider number"),"Yes","No")</f>
        <v>No</v>
      </c>
      <c r="AD228" s="4" t="str">
        <f>IF(OR(tblEnrollment[[#This Row],[Blocker Reason]] ="Wrong Payer ID",tblEnrollment[[#This Row],[Blocker Reason]] ="Old Payer ID used"),"Yes","No")</f>
        <v>No</v>
      </c>
      <c r="AE228" s="4" t="str">
        <f>IF(OR(tblEnrollment[[#This Row],[Clearinghouse Portal Updated]]="No",tblEnrollment[[#This Row],[Blocker Reason]] ="Clearinghouse portal not updated"),"Yes","No")</f>
        <v>Yes</v>
      </c>
      <c r="AF22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2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Status]]="Completed",AB228="NPI Match"),"Ready","Not Ready"),"Not Applicable")</f>
        <v>Not Applicable</v>
      </c>
      <c r="AH228" s="4" t="str">
        <f>IF(OR(tblEnrollment[[#This Row],[Enrollment Type]]="ERA",tblEnrollment[[#This Row],[Enrollment Type]]="Claims and ERA"),IF(AND(tblEnrollment[[#This Row],[Credentialing Status]]="Completed",tblEnrollment[[#This Row],[ERA Enrollment Status]]="Approved",tblEnrollment[[#This Row],[Clearinghouse Configuration Status]]="Completed",AB228="NPI Match"),"Ready","Not Ready"),"Not Applicable")</f>
        <v>Not Ready</v>
      </c>
      <c r="AI228" s="4" t="str">
        <f>IF(tblEnrollment[[#This Row],[Blocker Reason]] ="No Blocker","No","Yes")</f>
        <v>Yes</v>
      </c>
    </row>
    <row r="229" spans="1:35" ht="29">
      <c r="A229" s="35" t="s">
        <v>1149</v>
      </c>
      <c r="B229" s="35" t="s">
        <v>513</v>
      </c>
      <c r="C229" s="35" t="s">
        <v>1150</v>
      </c>
      <c r="D229" s="35" t="s">
        <v>1151</v>
      </c>
      <c r="E229" s="35" t="s">
        <v>85</v>
      </c>
      <c r="F229" s="35" t="s">
        <v>85</v>
      </c>
      <c r="G229" s="35" t="s">
        <v>85</v>
      </c>
      <c r="H229" s="35" t="s">
        <v>707</v>
      </c>
      <c r="I229" s="35" t="s">
        <v>346</v>
      </c>
      <c r="J229" s="35" t="s">
        <v>347</v>
      </c>
      <c r="K229" s="35" t="s">
        <v>53</v>
      </c>
      <c r="L229" s="35" t="s">
        <v>54</v>
      </c>
      <c r="M229" s="35" t="s">
        <v>45</v>
      </c>
      <c r="N229" s="35" t="s">
        <v>46</v>
      </c>
      <c r="O229" s="35" t="s">
        <v>56</v>
      </c>
      <c r="P229" s="35" t="s">
        <v>56</v>
      </c>
      <c r="Q229" s="35" t="s">
        <v>48</v>
      </c>
      <c r="R229" s="35" t="s">
        <v>137</v>
      </c>
      <c r="S229" s="36">
        <v>46081</v>
      </c>
      <c r="T229" s="36"/>
      <c r="U229" s="35" t="s">
        <v>56</v>
      </c>
      <c r="V229" s="35" t="s">
        <v>148</v>
      </c>
      <c r="W229" s="35" t="s">
        <v>349</v>
      </c>
      <c r="X229" s="36">
        <v>46186</v>
      </c>
      <c r="Y229" s="35" t="s">
        <v>359</v>
      </c>
      <c r="Z229" s="4">
        <f>IF(tblEnrollment[[#This Row],[Approved Date]]="",DATE(2026,6,3)-tblEnrollment[[#This Row],[Submitted Date]],tblEnrollment[[#This Row],[Approved Date]]-tblEnrollment[[#This Row],[Submitted Date]])</f>
        <v>95</v>
      </c>
      <c r="AA229" s="4" t="str">
        <f>IF(tblEnrollment[[#This Row],[Current Status]] ="Ready","Completed",IF(Z229&gt;21,"SLA Breached","Within SLA"))</f>
        <v>SLA Breached</v>
      </c>
      <c r="AB229" s="4" t="str">
        <f>IF(tblEnrollment[[#This Row],[Credentialed NPI]] =tblEnrollment[[#This Row],[Enrolled NPI]],"NPI Match","NPI Mismatch")</f>
        <v>NPI Match</v>
      </c>
      <c r="AC229" s="4" t="str">
        <f>IF(OR(tblEnrollment[[#This Row],[Blocker Reason]] ="Individual NPI used instead of Group NPI",tblEnrollment[[#This Row],[Blocker Reason]] ="Credentialed NPI mismatch",tblEnrollment[[#This Row],[Blocker Reason]] ="Incorrect PTAN/Provider number"),"Yes","No")</f>
        <v>No</v>
      </c>
      <c r="AD229" s="4" t="str">
        <f>IF(OR(tblEnrollment[[#This Row],[Blocker Reason]] ="Wrong Payer ID",tblEnrollment[[#This Row],[Blocker Reason]] ="Old Payer ID used"),"Yes","No")</f>
        <v>No</v>
      </c>
      <c r="AE229" s="4" t="str">
        <f>IF(OR(tblEnrollment[[#This Row],[Clearinghouse Portal Updated]]="No",tblEnrollment[[#This Row],[Blocker Reason]] ="Clearinghouse portal not updated"),"Yes","No")</f>
        <v>No</v>
      </c>
      <c r="AF22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2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Status]]="Completed",AB229="NPI Match"),"Ready","Not Ready"),"Not Applicable")</f>
        <v>Not Ready</v>
      </c>
      <c r="AH229" s="4" t="str">
        <f>IF(OR(tblEnrollment[[#This Row],[Enrollment Type]]="ERA",tblEnrollment[[#This Row],[Enrollment Type]]="Claims and ERA"),IF(AND(tblEnrollment[[#This Row],[Credentialing Status]]="Completed",tblEnrollment[[#This Row],[ERA Enrollment Status]]="Approved",tblEnrollment[[#This Row],[Clearinghouse Configuration Status]]="Completed",AB229="NPI Match"),"Ready","Not Ready"),"Not Applicable")</f>
        <v>Not Ready</v>
      </c>
      <c r="AI229" s="4" t="str">
        <f>IF(tblEnrollment[[#This Row],[Blocker Reason]] ="No Blocker","No","Yes")</f>
        <v>Yes</v>
      </c>
    </row>
    <row r="230" spans="1:35" ht="29">
      <c r="A230" s="35" t="s">
        <v>1152</v>
      </c>
      <c r="B230" s="35" t="s">
        <v>59</v>
      </c>
      <c r="C230" s="35" t="s">
        <v>1153</v>
      </c>
      <c r="D230" s="35" t="s">
        <v>1154</v>
      </c>
      <c r="E230" s="35" t="s">
        <v>456</v>
      </c>
      <c r="F230" s="35" t="s">
        <v>456</v>
      </c>
      <c r="G230" s="35" t="s">
        <v>456</v>
      </c>
      <c r="H230" s="35" t="s">
        <v>469</v>
      </c>
      <c r="I230" s="35" t="s">
        <v>130</v>
      </c>
      <c r="J230" s="35" t="s">
        <v>393</v>
      </c>
      <c r="K230" s="35" t="s">
        <v>53</v>
      </c>
      <c r="L230" s="35" t="s">
        <v>54</v>
      </c>
      <c r="M230" s="35" t="s">
        <v>45</v>
      </c>
      <c r="N230" s="35" t="s">
        <v>46</v>
      </c>
      <c r="O230" s="35" t="s">
        <v>47</v>
      </c>
      <c r="P230" s="35" t="s">
        <v>56</v>
      </c>
      <c r="Q230" s="35" t="s">
        <v>58</v>
      </c>
      <c r="R230" s="35" t="s">
        <v>56</v>
      </c>
      <c r="S230" s="36">
        <v>46143</v>
      </c>
      <c r="T230" s="36"/>
      <c r="U230" s="35" t="s">
        <v>56</v>
      </c>
      <c r="V230" s="35" t="s">
        <v>143</v>
      </c>
      <c r="W230" s="35" t="s">
        <v>365</v>
      </c>
      <c r="X230" s="36">
        <v>46182</v>
      </c>
      <c r="Y230" s="35" t="s">
        <v>343</v>
      </c>
      <c r="Z230" s="4">
        <f>IF(tblEnrollment[[#This Row],[Approved Date]]="",DATE(2026,6,3)-tblEnrollment[[#This Row],[Submitted Date]],tblEnrollment[[#This Row],[Approved Date]]-tblEnrollment[[#This Row],[Submitted Date]])</f>
        <v>33</v>
      </c>
      <c r="AA230" s="4" t="str">
        <f>IF(tblEnrollment[[#This Row],[Current Status]] ="Ready","Completed",IF(Z230&gt;21,"SLA Breached","Within SLA"))</f>
        <v>SLA Breached</v>
      </c>
      <c r="AB230" s="4" t="str">
        <f>IF(tblEnrollment[[#This Row],[Credentialed NPI]] =tblEnrollment[[#This Row],[Enrolled NPI]],"NPI Match","NPI Mismatch")</f>
        <v>NPI Match</v>
      </c>
      <c r="AC230" s="4" t="str">
        <f>IF(OR(tblEnrollment[[#This Row],[Blocker Reason]] ="Individual NPI used instead of Group NPI",tblEnrollment[[#This Row],[Blocker Reason]] ="Credentialed NPI mismatch",tblEnrollment[[#This Row],[Blocker Reason]] ="Incorrect PTAN/Provider number"),"Yes","No")</f>
        <v>No</v>
      </c>
      <c r="AD230" s="4" t="str">
        <f>IF(OR(tblEnrollment[[#This Row],[Blocker Reason]] ="Wrong Payer ID",tblEnrollment[[#This Row],[Blocker Reason]] ="Old Payer ID used"),"Yes","No")</f>
        <v>No</v>
      </c>
      <c r="AE230" s="4" t="str">
        <f>IF(OR(tblEnrollment[[#This Row],[Clearinghouse Portal Updated]]="No",tblEnrollment[[#This Row],[Blocker Reason]] ="Clearinghouse portal not updated"),"Yes","No")</f>
        <v>Yes</v>
      </c>
      <c r="AF23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3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Status]]="Completed",AB230="NPI Match"),"Ready","Not Ready"),"Not Applicable")</f>
        <v>Not Ready</v>
      </c>
      <c r="AH230" s="4" t="str">
        <f>IF(OR(tblEnrollment[[#This Row],[Enrollment Type]]="ERA",tblEnrollment[[#This Row],[Enrollment Type]]="Claims and ERA"),IF(AND(tblEnrollment[[#This Row],[Credentialing Status]]="Completed",tblEnrollment[[#This Row],[ERA Enrollment Status]]="Approved",tblEnrollment[[#This Row],[Clearinghouse Configuration Status]]="Completed",AB230="NPI Match"),"Ready","Not Ready"),"Not Applicable")</f>
        <v>Not Ready</v>
      </c>
      <c r="AI230" s="4" t="str">
        <f>IF(tblEnrollment[[#This Row],[Blocker Reason]] ="No Blocker","No","Yes")</f>
        <v>Yes</v>
      </c>
    </row>
    <row r="231" spans="1:35" ht="29">
      <c r="A231" s="35" t="s">
        <v>1155</v>
      </c>
      <c r="B231" s="35" t="s">
        <v>69</v>
      </c>
      <c r="C231" s="35" t="s">
        <v>1156</v>
      </c>
      <c r="D231" s="35" t="s">
        <v>1157</v>
      </c>
      <c r="E231" s="35" t="s">
        <v>405</v>
      </c>
      <c r="F231" s="35" t="s">
        <v>405</v>
      </c>
      <c r="G231" s="35" t="s">
        <v>405</v>
      </c>
      <c r="H231" s="35" t="s">
        <v>492</v>
      </c>
      <c r="I231" s="35" t="s">
        <v>130</v>
      </c>
      <c r="J231" s="35" t="s">
        <v>393</v>
      </c>
      <c r="K231" s="35" t="s">
        <v>53</v>
      </c>
      <c r="L231" s="35" t="s">
        <v>54</v>
      </c>
      <c r="M231" s="35" t="s">
        <v>55</v>
      </c>
      <c r="N231" s="35" t="s">
        <v>46</v>
      </c>
      <c r="O231" s="35" t="s">
        <v>47</v>
      </c>
      <c r="P231" s="35" t="s">
        <v>139</v>
      </c>
      <c r="Q231" s="35" t="s">
        <v>48</v>
      </c>
      <c r="R231" s="35" t="s">
        <v>46</v>
      </c>
      <c r="S231" s="36">
        <v>46073</v>
      </c>
      <c r="T231" s="36">
        <v>46092</v>
      </c>
      <c r="U231" s="35" t="s">
        <v>49</v>
      </c>
      <c r="V231" s="35" t="s">
        <v>348</v>
      </c>
      <c r="W231" s="35" t="s">
        <v>330</v>
      </c>
      <c r="X231" s="36">
        <v>46183</v>
      </c>
      <c r="Y231" s="35" t="s">
        <v>350</v>
      </c>
      <c r="Z231" s="4">
        <f>IF(tblEnrollment[[#This Row],[Approved Date]]="",DATE(2026,6,3)-tblEnrollment[[#This Row],[Submitted Date]],tblEnrollment[[#This Row],[Approved Date]]-tblEnrollment[[#This Row],[Submitted Date]])</f>
        <v>19</v>
      </c>
      <c r="AA231" s="4" t="str">
        <f>IF(tblEnrollment[[#This Row],[Current Status]] ="Ready","Completed",IF(Z231&gt;21,"SLA Breached","Within SLA"))</f>
        <v>Completed</v>
      </c>
      <c r="AB231" s="4" t="str">
        <f>IF(tblEnrollment[[#This Row],[Credentialed NPI]] =tblEnrollment[[#This Row],[Enrolled NPI]],"NPI Match","NPI Mismatch")</f>
        <v>NPI Match</v>
      </c>
      <c r="AC231" s="4" t="str">
        <f>IF(OR(tblEnrollment[[#This Row],[Blocker Reason]] ="Individual NPI used instead of Group NPI",tblEnrollment[[#This Row],[Blocker Reason]] ="Credentialed NPI mismatch",tblEnrollment[[#This Row],[Blocker Reason]] ="Incorrect PTAN/Provider number"),"Yes","No")</f>
        <v>No</v>
      </c>
      <c r="AD231" s="4" t="str">
        <f>IF(OR(tblEnrollment[[#This Row],[Blocker Reason]] ="Wrong Payer ID",tblEnrollment[[#This Row],[Blocker Reason]] ="Old Payer ID used"),"Yes","No")</f>
        <v>No</v>
      </c>
      <c r="AE231" s="4" t="str">
        <f>IF(OR(tblEnrollment[[#This Row],[Clearinghouse Portal Updated]]="No",tblEnrollment[[#This Row],[Blocker Reason]] ="Clearinghouse portal not updated"),"Yes","No")</f>
        <v>No</v>
      </c>
      <c r="AF23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3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Status]]="Completed",AB231="NPI Match"),"Ready","Not Ready"),"Not Applicable")</f>
        <v>Ready</v>
      </c>
      <c r="AH231" s="4" t="str">
        <f>IF(OR(tblEnrollment[[#This Row],[Enrollment Type]]="ERA",tblEnrollment[[#This Row],[Enrollment Type]]="Claims and ERA"),IF(AND(tblEnrollment[[#This Row],[Credentialing Status]]="Completed",tblEnrollment[[#This Row],[ERA Enrollment Status]]="Approved",tblEnrollment[[#This Row],[Clearinghouse Configuration Status]]="Completed",AB231="NPI Match"),"Ready","Not Ready"),"Not Applicable")</f>
        <v>Not Applicable</v>
      </c>
      <c r="AI231" s="4" t="str">
        <f>IF(tblEnrollment[[#This Row],[Blocker Reason]] ="No Blocker","No","Yes")</f>
        <v>No</v>
      </c>
    </row>
    <row r="232" spans="1:35" ht="29">
      <c r="A232" s="35" t="s">
        <v>1158</v>
      </c>
      <c r="B232" s="35" t="s">
        <v>513</v>
      </c>
      <c r="C232" s="35" t="s">
        <v>1159</v>
      </c>
      <c r="D232" s="35" t="s">
        <v>1160</v>
      </c>
      <c r="E232" s="35" t="s">
        <v>90</v>
      </c>
      <c r="F232" s="35" t="s">
        <v>90</v>
      </c>
      <c r="G232" s="35" t="s">
        <v>90</v>
      </c>
      <c r="H232" s="35" t="s">
        <v>1032</v>
      </c>
      <c r="I232" s="35" t="s">
        <v>130</v>
      </c>
      <c r="J232" s="35" t="s">
        <v>393</v>
      </c>
      <c r="K232" s="35" t="s">
        <v>53</v>
      </c>
      <c r="L232" s="35" t="s">
        <v>54</v>
      </c>
      <c r="M232" s="35" t="s">
        <v>55</v>
      </c>
      <c r="N232" s="35" t="s">
        <v>46</v>
      </c>
      <c r="O232" s="35" t="s">
        <v>47</v>
      </c>
      <c r="P232" s="35" t="s">
        <v>139</v>
      </c>
      <c r="Q232" s="35" t="s">
        <v>48</v>
      </c>
      <c r="R232" s="35" t="s">
        <v>46</v>
      </c>
      <c r="S232" s="36">
        <v>46057</v>
      </c>
      <c r="T232" s="36">
        <v>46071</v>
      </c>
      <c r="U232" s="35" t="s">
        <v>49</v>
      </c>
      <c r="V232" s="35" t="s">
        <v>348</v>
      </c>
      <c r="W232" s="35" t="s">
        <v>330</v>
      </c>
      <c r="X232" s="36">
        <v>46181</v>
      </c>
      <c r="Y232" s="35" t="s">
        <v>350</v>
      </c>
      <c r="Z232" s="4">
        <f>IF(tblEnrollment[[#This Row],[Approved Date]]="",DATE(2026,6,3)-tblEnrollment[[#This Row],[Submitted Date]],tblEnrollment[[#This Row],[Approved Date]]-tblEnrollment[[#This Row],[Submitted Date]])</f>
        <v>14</v>
      </c>
      <c r="AA232" s="4" t="str">
        <f>IF(tblEnrollment[[#This Row],[Current Status]] ="Ready","Completed",IF(Z232&gt;21,"SLA Breached","Within SLA"))</f>
        <v>Completed</v>
      </c>
      <c r="AB232" s="4" t="str">
        <f>IF(tblEnrollment[[#This Row],[Credentialed NPI]] =tblEnrollment[[#This Row],[Enrolled NPI]],"NPI Match","NPI Mismatch")</f>
        <v>NPI Match</v>
      </c>
      <c r="AC232" s="4" t="str">
        <f>IF(OR(tblEnrollment[[#This Row],[Blocker Reason]] ="Individual NPI used instead of Group NPI",tblEnrollment[[#This Row],[Blocker Reason]] ="Credentialed NPI mismatch",tblEnrollment[[#This Row],[Blocker Reason]] ="Incorrect PTAN/Provider number"),"Yes","No")</f>
        <v>No</v>
      </c>
      <c r="AD232" s="4" t="str">
        <f>IF(OR(tblEnrollment[[#This Row],[Blocker Reason]] ="Wrong Payer ID",tblEnrollment[[#This Row],[Blocker Reason]] ="Old Payer ID used"),"Yes","No")</f>
        <v>No</v>
      </c>
      <c r="AE232" s="4" t="str">
        <f>IF(OR(tblEnrollment[[#This Row],[Clearinghouse Portal Updated]]="No",tblEnrollment[[#This Row],[Blocker Reason]] ="Clearinghouse portal not updated"),"Yes","No")</f>
        <v>No</v>
      </c>
      <c r="AF23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3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Status]]="Completed",AB232="NPI Match"),"Ready","Not Ready"),"Not Applicable")</f>
        <v>Ready</v>
      </c>
      <c r="AH232" s="4" t="str">
        <f>IF(OR(tblEnrollment[[#This Row],[Enrollment Type]]="ERA",tblEnrollment[[#This Row],[Enrollment Type]]="Claims and ERA"),IF(AND(tblEnrollment[[#This Row],[Credentialing Status]]="Completed",tblEnrollment[[#This Row],[ERA Enrollment Status]]="Approved",tblEnrollment[[#This Row],[Clearinghouse Configuration Status]]="Completed",AB232="NPI Match"),"Ready","Not Ready"),"Not Applicable")</f>
        <v>Not Applicable</v>
      </c>
      <c r="AI232" s="4" t="str">
        <f>IF(tblEnrollment[[#This Row],[Blocker Reason]] ="No Blocker","No","Yes")</f>
        <v>No</v>
      </c>
    </row>
    <row r="233" spans="1:35" ht="29">
      <c r="A233" s="35" t="s">
        <v>1161</v>
      </c>
      <c r="B233" s="35" t="s">
        <v>59</v>
      </c>
      <c r="C233" s="35" t="s">
        <v>1162</v>
      </c>
      <c r="D233" s="35" t="s">
        <v>1163</v>
      </c>
      <c r="E233" s="35" t="s">
        <v>478</v>
      </c>
      <c r="F233" s="35" t="s">
        <v>478</v>
      </c>
      <c r="G233" s="35" t="s">
        <v>478</v>
      </c>
      <c r="H233" s="35" t="s">
        <v>419</v>
      </c>
      <c r="I233" s="35" t="s">
        <v>346</v>
      </c>
      <c r="J233" s="35" t="s">
        <v>347</v>
      </c>
      <c r="K233" s="35" t="s">
        <v>53</v>
      </c>
      <c r="L233" s="35" t="s">
        <v>54</v>
      </c>
      <c r="M233" s="35" t="s">
        <v>45</v>
      </c>
      <c r="N233" s="35" t="s">
        <v>46</v>
      </c>
      <c r="O233" s="35" t="s">
        <v>56</v>
      </c>
      <c r="P233" s="35" t="s">
        <v>56</v>
      </c>
      <c r="Q233" s="35" t="s">
        <v>48</v>
      </c>
      <c r="R233" s="35" t="s">
        <v>137</v>
      </c>
      <c r="S233" s="36">
        <v>46085</v>
      </c>
      <c r="T233" s="36"/>
      <c r="U233" s="35" t="s">
        <v>56</v>
      </c>
      <c r="V233" s="35" t="s">
        <v>148</v>
      </c>
      <c r="W233" s="35" t="s">
        <v>338</v>
      </c>
      <c r="X233" s="36">
        <v>46185</v>
      </c>
      <c r="Y233" s="35" t="s">
        <v>359</v>
      </c>
      <c r="Z233" s="4">
        <f>IF(tblEnrollment[[#This Row],[Approved Date]]="",DATE(2026,6,3)-tblEnrollment[[#This Row],[Submitted Date]],tblEnrollment[[#This Row],[Approved Date]]-tblEnrollment[[#This Row],[Submitted Date]])</f>
        <v>91</v>
      </c>
      <c r="AA233" s="4" t="str">
        <f>IF(tblEnrollment[[#This Row],[Current Status]] ="Ready","Completed",IF(Z233&gt;21,"SLA Breached","Within SLA"))</f>
        <v>SLA Breached</v>
      </c>
      <c r="AB233" s="4" t="str">
        <f>IF(tblEnrollment[[#This Row],[Credentialed NPI]] =tblEnrollment[[#This Row],[Enrolled NPI]],"NPI Match","NPI Mismatch")</f>
        <v>NPI Match</v>
      </c>
      <c r="AC233" s="4" t="str">
        <f>IF(OR(tblEnrollment[[#This Row],[Blocker Reason]] ="Individual NPI used instead of Group NPI",tblEnrollment[[#This Row],[Blocker Reason]] ="Credentialed NPI mismatch",tblEnrollment[[#This Row],[Blocker Reason]] ="Incorrect PTAN/Provider number"),"Yes","No")</f>
        <v>No</v>
      </c>
      <c r="AD233" s="4" t="str">
        <f>IF(OR(tblEnrollment[[#This Row],[Blocker Reason]] ="Wrong Payer ID",tblEnrollment[[#This Row],[Blocker Reason]] ="Old Payer ID used"),"Yes","No")</f>
        <v>No</v>
      </c>
      <c r="AE233" s="4" t="str">
        <f>IF(OR(tblEnrollment[[#This Row],[Clearinghouse Portal Updated]]="No",tblEnrollment[[#This Row],[Blocker Reason]] ="Clearinghouse portal not updated"),"Yes","No")</f>
        <v>No</v>
      </c>
      <c r="AF23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3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Status]]="Completed",AB233="NPI Match"),"Ready","Not Ready"),"Not Applicable")</f>
        <v>Not Ready</v>
      </c>
      <c r="AH233" s="4" t="str">
        <f>IF(OR(tblEnrollment[[#This Row],[Enrollment Type]]="ERA",tblEnrollment[[#This Row],[Enrollment Type]]="Claims and ERA"),IF(AND(tblEnrollment[[#This Row],[Credentialing Status]]="Completed",tblEnrollment[[#This Row],[ERA Enrollment Status]]="Approved",tblEnrollment[[#This Row],[Clearinghouse Configuration Status]]="Completed",AB233="NPI Match"),"Ready","Not Ready"),"Not Applicable")</f>
        <v>Not Ready</v>
      </c>
      <c r="AI233" s="4" t="str">
        <f>IF(tblEnrollment[[#This Row],[Blocker Reason]] ="No Blocker","No","Yes")</f>
        <v>Yes</v>
      </c>
    </row>
    <row r="234" spans="1:35" ht="29">
      <c r="A234" s="35" t="s">
        <v>1164</v>
      </c>
      <c r="B234" s="35" t="s">
        <v>71</v>
      </c>
      <c r="C234" s="35" t="s">
        <v>438</v>
      </c>
      <c r="D234" s="35" t="s">
        <v>1165</v>
      </c>
      <c r="E234" s="35" t="s">
        <v>103</v>
      </c>
      <c r="F234" s="35" t="s">
        <v>103</v>
      </c>
      <c r="G234" s="35" t="s">
        <v>103</v>
      </c>
      <c r="H234" s="35" t="s">
        <v>363</v>
      </c>
      <c r="I234" s="35" t="s">
        <v>51</v>
      </c>
      <c r="J234" s="35" t="s">
        <v>52</v>
      </c>
      <c r="K234" s="35" t="s">
        <v>53</v>
      </c>
      <c r="L234" s="35" t="s">
        <v>54</v>
      </c>
      <c r="M234" s="35" t="s">
        <v>45</v>
      </c>
      <c r="N234" s="35" t="s">
        <v>46</v>
      </c>
      <c r="O234" s="35" t="s">
        <v>47</v>
      </c>
      <c r="P234" s="35" t="s">
        <v>47</v>
      </c>
      <c r="Q234" s="35" t="s">
        <v>48</v>
      </c>
      <c r="R234" s="35" t="s">
        <v>46</v>
      </c>
      <c r="S234" s="36">
        <v>46085</v>
      </c>
      <c r="T234" s="36">
        <v>46103</v>
      </c>
      <c r="U234" s="35" t="s">
        <v>49</v>
      </c>
      <c r="V234" s="35" t="s">
        <v>348</v>
      </c>
      <c r="W234" s="35" t="s">
        <v>349</v>
      </c>
      <c r="X234" s="36">
        <v>46177</v>
      </c>
      <c r="Y234" s="35" t="s">
        <v>350</v>
      </c>
      <c r="Z234" s="4">
        <f>IF(tblEnrollment[[#This Row],[Approved Date]]="",DATE(2026,6,3)-tblEnrollment[[#This Row],[Submitted Date]],tblEnrollment[[#This Row],[Approved Date]]-tblEnrollment[[#This Row],[Submitted Date]])</f>
        <v>18</v>
      </c>
      <c r="AA234" s="4" t="str">
        <f>IF(tblEnrollment[[#This Row],[Current Status]] ="Ready","Completed",IF(Z234&gt;21,"SLA Breached","Within SLA"))</f>
        <v>Completed</v>
      </c>
      <c r="AB234" s="4" t="str">
        <f>IF(tblEnrollment[[#This Row],[Credentialed NPI]] =tblEnrollment[[#This Row],[Enrolled NPI]],"NPI Match","NPI Mismatch")</f>
        <v>NPI Match</v>
      </c>
      <c r="AC234" s="4" t="str">
        <f>IF(OR(tblEnrollment[[#This Row],[Blocker Reason]] ="Individual NPI used instead of Group NPI",tblEnrollment[[#This Row],[Blocker Reason]] ="Credentialed NPI mismatch",tblEnrollment[[#This Row],[Blocker Reason]] ="Incorrect PTAN/Provider number"),"Yes","No")</f>
        <v>No</v>
      </c>
      <c r="AD234" s="4" t="str">
        <f>IF(OR(tblEnrollment[[#This Row],[Blocker Reason]] ="Wrong Payer ID",tblEnrollment[[#This Row],[Blocker Reason]] ="Old Payer ID used"),"Yes","No")</f>
        <v>No</v>
      </c>
      <c r="AE234" s="4" t="str">
        <f>IF(OR(tblEnrollment[[#This Row],[Clearinghouse Portal Updated]]="No",tblEnrollment[[#This Row],[Blocker Reason]] ="Clearinghouse portal not updated"),"Yes","No")</f>
        <v>No</v>
      </c>
      <c r="AF23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3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Status]]="Completed",AB234="NPI Match"),"Ready","Not Ready"),"Not Applicable")</f>
        <v>Ready</v>
      </c>
      <c r="AH234" s="4" t="str">
        <f>IF(OR(tblEnrollment[[#This Row],[Enrollment Type]]="ERA",tblEnrollment[[#This Row],[Enrollment Type]]="Claims and ERA"),IF(AND(tblEnrollment[[#This Row],[Credentialing Status]]="Completed",tblEnrollment[[#This Row],[ERA Enrollment Status]]="Approved",tblEnrollment[[#This Row],[Clearinghouse Configuration Status]]="Completed",AB234="NPI Match"),"Ready","Not Ready"),"Not Applicable")</f>
        <v>Ready</v>
      </c>
      <c r="AI234" s="4" t="str">
        <f>IF(tblEnrollment[[#This Row],[Blocker Reason]] ="No Blocker","No","Yes")</f>
        <v>No</v>
      </c>
    </row>
    <row r="235" spans="1:35" ht="29">
      <c r="A235" s="35" t="s">
        <v>1166</v>
      </c>
      <c r="B235" s="35" t="s">
        <v>78</v>
      </c>
      <c r="C235" s="35" t="s">
        <v>1167</v>
      </c>
      <c r="D235" s="35" t="s">
        <v>1168</v>
      </c>
      <c r="E235" s="35" t="s">
        <v>95</v>
      </c>
      <c r="F235" s="35" t="s">
        <v>95</v>
      </c>
      <c r="G235" s="35" t="s">
        <v>1169</v>
      </c>
      <c r="H235" s="35" t="s">
        <v>812</v>
      </c>
      <c r="I235" s="35" t="s">
        <v>130</v>
      </c>
      <c r="J235" s="35" t="s">
        <v>393</v>
      </c>
      <c r="K235" s="35" t="s">
        <v>53</v>
      </c>
      <c r="L235" s="35" t="s">
        <v>54</v>
      </c>
      <c r="M235" s="35" t="s">
        <v>45</v>
      </c>
      <c r="N235" s="35" t="s">
        <v>46</v>
      </c>
      <c r="O235" s="35" t="s">
        <v>138</v>
      </c>
      <c r="P235" s="35" t="s">
        <v>138</v>
      </c>
      <c r="Q235" s="35" t="s">
        <v>48</v>
      </c>
      <c r="R235" s="35" t="s">
        <v>140</v>
      </c>
      <c r="S235" s="36">
        <v>46134</v>
      </c>
      <c r="T235" s="36"/>
      <c r="U235" s="35" t="s">
        <v>141</v>
      </c>
      <c r="V235" s="35" t="s">
        <v>144</v>
      </c>
      <c r="W235" s="35" t="s">
        <v>338</v>
      </c>
      <c r="X235" s="36">
        <v>46183</v>
      </c>
      <c r="Y235" s="35" t="s">
        <v>389</v>
      </c>
      <c r="Z235" s="4">
        <f>IF(tblEnrollment[[#This Row],[Approved Date]]="",DATE(2026,6,3)-tblEnrollment[[#This Row],[Submitted Date]],tblEnrollment[[#This Row],[Approved Date]]-tblEnrollment[[#This Row],[Submitted Date]])</f>
        <v>42</v>
      </c>
      <c r="AA235" s="4" t="str">
        <f>IF(tblEnrollment[[#This Row],[Current Status]] ="Ready","Completed",IF(Z235&gt;21,"SLA Breached","Within SLA"))</f>
        <v>SLA Breached</v>
      </c>
      <c r="AB235" s="4" t="str">
        <f>IF(tblEnrollment[[#This Row],[Credentialed NPI]] =tblEnrollment[[#This Row],[Enrolled NPI]],"NPI Match","NPI Mismatch")</f>
        <v>NPI Mismatch</v>
      </c>
      <c r="AC235" s="4" t="str">
        <f>IF(OR(tblEnrollment[[#This Row],[Blocker Reason]] ="Individual NPI used instead of Group NPI",tblEnrollment[[#This Row],[Blocker Reason]] ="Credentialed NPI mismatch",tblEnrollment[[#This Row],[Blocker Reason]] ="Incorrect PTAN/Provider number"),"Yes","No")</f>
        <v>Yes</v>
      </c>
      <c r="AD235" s="4" t="str">
        <f>IF(OR(tblEnrollment[[#This Row],[Blocker Reason]] ="Wrong Payer ID",tblEnrollment[[#This Row],[Blocker Reason]] ="Old Payer ID used"),"Yes","No")</f>
        <v>No</v>
      </c>
      <c r="AE235" s="4" t="str">
        <f>IF(OR(tblEnrollment[[#This Row],[Clearinghouse Portal Updated]]="No",tblEnrollment[[#This Row],[Blocker Reason]] ="Clearinghouse portal not updated"),"Yes","No")</f>
        <v>No</v>
      </c>
      <c r="AF23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3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Status]]="Completed",AB235="NPI Match"),"Ready","Not Ready"),"Not Applicable")</f>
        <v>Not Ready</v>
      </c>
      <c r="AH235" s="4" t="str">
        <f>IF(OR(tblEnrollment[[#This Row],[Enrollment Type]]="ERA",tblEnrollment[[#This Row],[Enrollment Type]]="Claims and ERA"),IF(AND(tblEnrollment[[#This Row],[Credentialing Status]]="Completed",tblEnrollment[[#This Row],[ERA Enrollment Status]]="Approved",tblEnrollment[[#This Row],[Clearinghouse Configuration Status]]="Completed",AB235="NPI Match"),"Ready","Not Ready"),"Not Applicable")</f>
        <v>Not Ready</v>
      </c>
      <c r="AI235" s="4" t="str">
        <f>IF(tblEnrollment[[#This Row],[Blocker Reason]] ="No Blocker","No","Yes")</f>
        <v>Yes</v>
      </c>
    </row>
    <row r="236" spans="1:35" ht="29">
      <c r="A236" s="35" t="s">
        <v>1170</v>
      </c>
      <c r="B236" s="35" t="s">
        <v>66</v>
      </c>
      <c r="C236" s="35" t="s">
        <v>1171</v>
      </c>
      <c r="D236" s="35" t="s">
        <v>1172</v>
      </c>
      <c r="E236" s="35" t="s">
        <v>464</v>
      </c>
      <c r="F236" s="35" t="s">
        <v>464</v>
      </c>
      <c r="G236" s="35" t="s">
        <v>464</v>
      </c>
      <c r="H236" s="35" t="s">
        <v>1022</v>
      </c>
      <c r="I236" s="35" t="s">
        <v>130</v>
      </c>
      <c r="J236" s="35" t="s">
        <v>575</v>
      </c>
      <c r="K236" s="35" t="s">
        <v>53</v>
      </c>
      <c r="L236" s="35" t="s">
        <v>54</v>
      </c>
      <c r="M236" s="35" t="s">
        <v>45</v>
      </c>
      <c r="N236" s="35" t="s">
        <v>46</v>
      </c>
      <c r="O236" s="35" t="s">
        <v>138</v>
      </c>
      <c r="P236" s="35" t="s">
        <v>138</v>
      </c>
      <c r="Q236" s="35" t="s">
        <v>48</v>
      </c>
      <c r="R236" s="35" t="s">
        <v>140</v>
      </c>
      <c r="S236" s="36">
        <v>46118</v>
      </c>
      <c r="T236" s="36"/>
      <c r="U236" s="35" t="s">
        <v>141</v>
      </c>
      <c r="V236" s="35" t="s">
        <v>329</v>
      </c>
      <c r="W236" s="35" t="s">
        <v>441</v>
      </c>
      <c r="X236" s="36">
        <v>46179</v>
      </c>
      <c r="Y236" s="35" t="s">
        <v>331</v>
      </c>
      <c r="Z236" s="4">
        <f>IF(tblEnrollment[[#This Row],[Approved Date]]="",DATE(2026,6,3)-tblEnrollment[[#This Row],[Submitted Date]],tblEnrollment[[#This Row],[Approved Date]]-tblEnrollment[[#This Row],[Submitted Date]])</f>
        <v>58</v>
      </c>
      <c r="AA236" s="4" t="str">
        <f>IF(tblEnrollment[[#This Row],[Current Status]] ="Ready","Completed",IF(Z236&gt;21,"SLA Breached","Within SLA"))</f>
        <v>SLA Breached</v>
      </c>
      <c r="AB236" s="4" t="str">
        <f>IF(tblEnrollment[[#This Row],[Credentialed NPI]] =tblEnrollment[[#This Row],[Enrolled NPI]],"NPI Match","NPI Mismatch")</f>
        <v>NPI Match</v>
      </c>
      <c r="AC236" s="4" t="str">
        <f>IF(OR(tblEnrollment[[#This Row],[Blocker Reason]] ="Individual NPI used instead of Group NPI",tblEnrollment[[#This Row],[Blocker Reason]] ="Credentialed NPI mismatch",tblEnrollment[[#This Row],[Blocker Reason]] ="Incorrect PTAN/Provider number"),"Yes","No")</f>
        <v>No</v>
      </c>
      <c r="AD236" s="4" t="str">
        <f>IF(OR(tblEnrollment[[#This Row],[Blocker Reason]] ="Wrong Payer ID",tblEnrollment[[#This Row],[Blocker Reason]] ="Old Payer ID used"),"Yes","No")</f>
        <v>Yes</v>
      </c>
      <c r="AE236" s="4" t="str">
        <f>IF(OR(tblEnrollment[[#This Row],[Clearinghouse Portal Updated]]="No",tblEnrollment[[#This Row],[Blocker Reason]] ="Clearinghouse portal not updated"),"Yes","No")</f>
        <v>No</v>
      </c>
      <c r="AF23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3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Status]]="Completed",AB236="NPI Match"),"Ready","Not Ready"),"Not Applicable")</f>
        <v>Not Ready</v>
      </c>
      <c r="AH236" s="4" t="str">
        <f>IF(OR(tblEnrollment[[#This Row],[Enrollment Type]]="ERA",tblEnrollment[[#This Row],[Enrollment Type]]="Claims and ERA"),IF(AND(tblEnrollment[[#This Row],[Credentialing Status]]="Completed",tblEnrollment[[#This Row],[ERA Enrollment Status]]="Approved",tblEnrollment[[#This Row],[Clearinghouse Configuration Status]]="Completed",AB236="NPI Match"),"Ready","Not Ready"),"Not Applicable")</f>
        <v>Not Ready</v>
      </c>
      <c r="AI236" s="4" t="str">
        <f>IF(tblEnrollment[[#This Row],[Blocker Reason]] ="No Blocker","No","Yes")</f>
        <v>Yes</v>
      </c>
    </row>
    <row r="237" spans="1:35" ht="29">
      <c r="A237" s="35" t="s">
        <v>1173</v>
      </c>
      <c r="B237" s="35" t="s">
        <v>513</v>
      </c>
      <c r="C237" s="35" t="s">
        <v>1174</v>
      </c>
      <c r="D237" s="35" t="s">
        <v>1175</v>
      </c>
      <c r="E237" s="35" t="s">
        <v>96</v>
      </c>
      <c r="F237" s="35" t="s">
        <v>96</v>
      </c>
      <c r="G237" s="35" t="s">
        <v>96</v>
      </c>
      <c r="H237" s="35" t="s">
        <v>500</v>
      </c>
      <c r="I237" s="35" t="s">
        <v>131</v>
      </c>
      <c r="J237" s="35" t="s">
        <v>342</v>
      </c>
      <c r="K237" s="35" t="s">
        <v>53</v>
      </c>
      <c r="L237" s="35" t="s">
        <v>54</v>
      </c>
      <c r="M237" s="35" t="s">
        <v>55</v>
      </c>
      <c r="N237" s="35" t="s">
        <v>46</v>
      </c>
      <c r="O237" s="35" t="s">
        <v>47</v>
      </c>
      <c r="P237" s="35" t="s">
        <v>139</v>
      </c>
      <c r="Q237" s="35" t="s">
        <v>48</v>
      </c>
      <c r="R237" s="35" t="s">
        <v>46</v>
      </c>
      <c r="S237" s="36">
        <v>46143</v>
      </c>
      <c r="T237" s="36">
        <v>46154</v>
      </c>
      <c r="U237" s="35" t="s">
        <v>49</v>
      </c>
      <c r="V237" s="35" t="s">
        <v>348</v>
      </c>
      <c r="W237" s="35" t="s">
        <v>365</v>
      </c>
      <c r="X237" s="36">
        <v>46178</v>
      </c>
      <c r="Y237" s="35" t="s">
        <v>350</v>
      </c>
      <c r="Z237" s="4">
        <f>IF(tblEnrollment[[#This Row],[Approved Date]]="",DATE(2026,6,3)-tblEnrollment[[#This Row],[Submitted Date]],tblEnrollment[[#This Row],[Approved Date]]-tblEnrollment[[#This Row],[Submitted Date]])</f>
        <v>11</v>
      </c>
      <c r="AA237" s="4" t="str">
        <f>IF(tblEnrollment[[#This Row],[Current Status]] ="Ready","Completed",IF(Z237&gt;21,"SLA Breached","Within SLA"))</f>
        <v>Completed</v>
      </c>
      <c r="AB237" s="4" t="str">
        <f>IF(tblEnrollment[[#This Row],[Credentialed NPI]] =tblEnrollment[[#This Row],[Enrolled NPI]],"NPI Match","NPI Mismatch")</f>
        <v>NPI Match</v>
      </c>
      <c r="AC237" s="4" t="str">
        <f>IF(OR(tblEnrollment[[#This Row],[Blocker Reason]] ="Individual NPI used instead of Group NPI",tblEnrollment[[#This Row],[Blocker Reason]] ="Credentialed NPI mismatch",tblEnrollment[[#This Row],[Blocker Reason]] ="Incorrect PTAN/Provider number"),"Yes","No")</f>
        <v>No</v>
      </c>
      <c r="AD237" s="4" t="str">
        <f>IF(OR(tblEnrollment[[#This Row],[Blocker Reason]] ="Wrong Payer ID",tblEnrollment[[#This Row],[Blocker Reason]] ="Old Payer ID used"),"Yes","No")</f>
        <v>No</v>
      </c>
      <c r="AE237" s="4" t="str">
        <f>IF(OR(tblEnrollment[[#This Row],[Clearinghouse Portal Updated]]="No",tblEnrollment[[#This Row],[Blocker Reason]] ="Clearinghouse portal not updated"),"Yes","No")</f>
        <v>No</v>
      </c>
      <c r="AF23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3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Status]]="Completed",AB237="NPI Match"),"Ready","Not Ready"),"Not Applicable")</f>
        <v>Ready</v>
      </c>
      <c r="AH237" s="4" t="str">
        <f>IF(OR(tblEnrollment[[#This Row],[Enrollment Type]]="ERA",tblEnrollment[[#This Row],[Enrollment Type]]="Claims and ERA"),IF(AND(tblEnrollment[[#This Row],[Credentialing Status]]="Completed",tblEnrollment[[#This Row],[ERA Enrollment Status]]="Approved",tblEnrollment[[#This Row],[Clearinghouse Configuration Status]]="Completed",AB237="NPI Match"),"Ready","Not Ready"),"Not Applicable")</f>
        <v>Not Applicable</v>
      </c>
      <c r="AI237" s="4" t="str">
        <f>IF(tblEnrollment[[#This Row],[Blocker Reason]] ="No Blocker","No","Yes")</f>
        <v>No</v>
      </c>
    </row>
    <row r="238" spans="1:35" ht="29">
      <c r="A238" s="35" t="s">
        <v>1176</v>
      </c>
      <c r="B238" s="35" t="s">
        <v>64</v>
      </c>
      <c r="C238" s="35" t="s">
        <v>970</v>
      </c>
      <c r="D238" s="35" t="s">
        <v>1177</v>
      </c>
      <c r="E238" s="35" t="s">
        <v>97</v>
      </c>
      <c r="F238" s="35" t="s">
        <v>97</v>
      </c>
      <c r="G238" s="35" t="s">
        <v>97</v>
      </c>
      <c r="H238" s="35" t="s">
        <v>400</v>
      </c>
      <c r="I238" s="35" t="s">
        <v>130</v>
      </c>
      <c r="J238" s="35" t="s">
        <v>393</v>
      </c>
      <c r="K238" s="35" t="s">
        <v>53</v>
      </c>
      <c r="L238" s="35" t="s">
        <v>54</v>
      </c>
      <c r="M238" s="35" t="s">
        <v>45</v>
      </c>
      <c r="N238" s="35" t="s">
        <v>46</v>
      </c>
      <c r="O238" s="35" t="s">
        <v>47</v>
      </c>
      <c r="P238" s="35" t="s">
        <v>56</v>
      </c>
      <c r="Q238" s="35" t="s">
        <v>48</v>
      </c>
      <c r="R238" s="35" t="s">
        <v>137</v>
      </c>
      <c r="S238" s="36">
        <v>46123</v>
      </c>
      <c r="T238" s="36"/>
      <c r="U238" s="35" t="s">
        <v>56</v>
      </c>
      <c r="V238" s="35" t="s">
        <v>364</v>
      </c>
      <c r="W238" s="35" t="s">
        <v>349</v>
      </c>
      <c r="X238" s="36">
        <v>46180</v>
      </c>
      <c r="Y238" s="35" t="s">
        <v>366</v>
      </c>
      <c r="Z238" s="4">
        <f>IF(tblEnrollment[[#This Row],[Approved Date]]="",DATE(2026,6,3)-tblEnrollment[[#This Row],[Submitted Date]],tblEnrollment[[#This Row],[Approved Date]]-tblEnrollment[[#This Row],[Submitted Date]])</f>
        <v>53</v>
      </c>
      <c r="AA238" s="4" t="str">
        <f>IF(tblEnrollment[[#This Row],[Current Status]] ="Ready","Completed",IF(Z238&gt;21,"SLA Breached","Within SLA"))</f>
        <v>SLA Breached</v>
      </c>
      <c r="AB238" s="4" t="str">
        <f>IF(tblEnrollment[[#This Row],[Credentialed NPI]] =tblEnrollment[[#This Row],[Enrolled NPI]],"NPI Match","NPI Mismatch")</f>
        <v>NPI Match</v>
      </c>
      <c r="AC238" s="4" t="str">
        <f>IF(OR(tblEnrollment[[#This Row],[Blocker Reason]] ="Individual NPI used instead of Group NPI",tblEnrollment[[#This Row],[Blocker Reason]] ="Credentialed NPI mismatch",tblEnrollment[[#This Row],[Blocker Reason]] ="Incorrect PTAN/Provider number"),"Yes","No")</f>
        <v>No</v>
      </c>
      <c r="AD238" s="4" t="str">
        <f>IF(OR(tblEnrollment[[#This Row],[Blocker Reason]] ="Wrong Payer ID",tblEnrollment[[#This Row],[Blocker Reason]] ="Old Payer ID used"),"Yes","No")</f>
        <v>No</v>
      </c>
      <c r="AE238" s="4" t="str">
        <f>IF(OR(tblEnrollment[[#This Row],[Clearinghouse Portal Updated]]="No",tblEnrollment[[#This Row],[Blocker Reason]] ="Clearinghouse portal not updated"),"Yes","No")</f>
        <v>No</v>
      </c>
      <c r="AF23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3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Status]]="Completed",AB238="NPI Match"),"Ready","Not Ready"),"Not Applicable")</f>
        <v>Not Ready</v>
      </c>
      <c r="AH238" s="4" t="str">
        <f>IF(OR(tblEnrollment[[#This Row],[Enrollment Type]]="ERA",tblEnrollment[[#This Row],[Enrollment Type]]="Claims and ERA"),IF(AND(tblEnrollment[[#This Row],[Credentialing Status]]="Completed",tblEnrollment[[#This Row],[ERA Enrollment Status]]="Approved",tblEnrollment[[#This Row],[Clearinghouse Configuration Status]]="Completed",AB238="NPI Match"),"Ready","Not Ready"),"Not Applicable")</f>
        <v>Not Ready</v>
      </c>
      <c r="AI238" s="4" t="str">
        <f>IF(tblEnrollment[[#This Row],[Blocker Reason]] ="No Blocker","No","Yes")</f>
        <v>Yes</v>
      </c>
    </row>
    <row r="239" spans="1:35" ht="29">
      <c r="A239" s="35" t="s">
        <v>1178</v>
      </c>
      <c r="B239" s="35" t="s">
        <v>70</v>
      </c>
      <c r="C239" s="35" t="s">
        <v>1179</v>
      </c>
      <c r="D239" s="35" t="s">
        <v>1180</v>
      </c>
      <c r="E239" s="35" t="s">
        <v>104</v>
      </c>
      <c r="F239" s="35" t="s">
        <v>104</v>
      </c>
      <c r="G239" s="35" t="s">
        <v>104</v>
      </c>
      <c r="H239" s="35" t="s">
        <v>109</v>
      </c>
      <c r="I239" s="35" t="s">
        <v>129</v>
      </c>
      <c r="J239" s="35" t="s">
        <v>134</v>
      </c>
      <c r="K239" s="35" t="s">
        <v>44</v>
      </c>
      <c r="L239" s="35" t="s">
        <v>133</v>
      </c>
      <c r="M239" s="35" t="s">
        <v>55</v>
      </c>
      <c r="N239" s="35" t="s">
        <v>46</v>
      </c>
      <c r="O239" s="35" t="s">
        <v>138</v>
      </c>
      <c r="P239" s="35" t="s">
        <v>139</v>
      </c>
      <c r="Q239" s="35" t="s">
        <v>48</v>
      </c>
      <c r="R239" s="35" t="s">
        <v>140</v>
      </c>
      <c r="S239" s="36">
        <v>46175</v>
      </c>
      <c r="T239" s="36"/>
      <c r="U239" s="35" t="s">
        <v>141</v>
      </c>
      <c r="V239" s="35" t="s">
        <v>377</v>
      </c>
      <c r="W239" s="35" t="s">
        <v>330</v>
      </c>
      <c r="X239" s="36">
        <v>46186</v>
      </c>
      <c r="Y239" s="35" t="s">
        <v>378</v>
      </c>
      <c r="Z239" s="4">
        <f>IF(tblEnrollment[[#This Row],[Approved Date]]="",DATE(2026,6,3)-tblEnrollment[[#This Row],[Submitted Date]],tblEnrollment[[#This Row],[Approved Date]]-tblEnrollment[[#This Row],[Submitted Date]])</f>
        <v>1</v>
      </c>
      <c r="AA239" s="4" t="str">
        <f>IF(tblEnrollment[[#This Row],[Current Status]] ="Ready","Completed",IF(Z239&gt;21,"SLA Breached","Within SLA"))</f>
        <v>Within SLA</v>
      </c>
      <c r="AB239" s="4" t="str">
        <f>IF(tblEnrollment[[#This Row],[Credentialed NPI]] =tblEnrollment[[#This Row],[Enrolled NPI]],"NPI Match","NPI Mismatch")</f>
        <v>NPI Match</v>
      </c>
      <c r="AC239" s="4" t="str">
        <f>IF(OR(tblEnrollment[[#This Row],[Blocker Reason]] ="Individual NPI used instead of Group NPI",tblEnrollment[[#This Row],[Blocker Reason]] ="Credentialed NPI mismatch",tblEnrollment[[#This Row],[Blocker Reason]] ="Incorrect PTAN/Provider number"),"Yes","No")</f>
        <v>Yes</v>
      </c>
      <c r="AD239" s="4" t="str">
        <f>IF(OR(tblEnrollment[[#This Row],[Blocker Reason]] ="Wrong Payer ID",tblEnrollment[[#This Row],[Blocker Reason]] ="Old Payer ID used"),"Yes","No")</f>
        <v>No</v>
      </c>
      <c r="AE239" s="4" t="str">
        <f>IF(OR(tblEnrollment[[#This Row],[Clearinghouse Portal Updated]]="No",tblEnrollment[[#This Row],[Blocker Reason]] ="Clearinghouse portal not updated"),"Yes","No")</f>
        <v>No</v>
      </c>
      <c r="AF23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Yes</v>
      </c>
      <c r="AG23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Status]]="Completed",AB239="NPI Match"),"Ready","Not Ready"),"Not Applicable")</f>
        <v>Not Ready</v>
      </c>
      <c r="AH239" s="4" t="str">
        <f>IF(OR(tblEnrollment[[#This Row],[Enrollment Type]]="ERA",tblEnrollment[[#This Row],[Enrollment Type]]="Claims and ERA"),IF(AND(tblEnrollment[[#This Row],[Credentialing Status]]="Completed",tblEnrollment[[#This Row],[ERA Enrollment Status]]="Approved",tblEnrollment[[#This Row],[Clearinghouse Configuration Status]]="Completed",AB239="NPI Match"),"Ready","Not Ready"),"Not Applicable")</f>
        <v>Not Applicable</v>
      </c>
      <c r="AI239" s="4" t="str">
        <f>IF(tblEnrollment[[#This Row],[Blocker Reason]] ="No Blocker","No","Yes")</f>
        <v>Yes</v>
      </c>
    </row>
    <row r="240" spans="1:35" ht="29">
      <c r="A240" s="35" t="s">
        <v>1181</v>
      </c>
      <c r="B240" s="35" t="s">
        <v>403</v>
      </c>
      <c r="C240" s="35" t="s">
        <v>1182</v>
      </c>
      <c r="D240" s="35" t="s">
        <v>1183</v>
      </c>
      <c r="E240" s="35" t="s">
        <v>456</v>
      </c>
      <c r="F240" s="35" t="s">
        <v>456</v>
      </c>
      <c r="G240" s="35" t="s">
        <v>1183</v>
      </c>
      <c r="H240" s="35" t="s">
        <v>106</v>
      </c>
      <c r="I240" s="35" t="s">
        <v>43</v>
      </c>
      <c r="J240" s="35" t="s">
        <v>357</v>
      </c>
      <c r="K240" s="35" t="s">
        <v>44</v>
      </c>
      <c r="L240" s="35" t="s">
        <v>1184</v>
      </c>
      <c r="M240" s="35" t="s">
        <v>45</v>
      </c>
      <c r="N240" s="35" t="s">
        <v>46</v>
      </c>
      <c r="O240" s="35" t="s">
        <v>138</v>
      </c>
      <c r="P240" s="35" t="s">
        <v>138</v>
      </c>
      <c r="Q240" s="35" t="s">
        <v>48</v>
      </c>
      <c r="R240" s="35" t="s">
        <v>140</v>
      </c>
      <c r="S240" s="36">
        <v>46096</v>
      </c>
      <c r="T240" s="36"/>
      <c r="U240" s="35" t="s">
        <v>141</v>
      </c>
      <c r="V240" s="35" t="s">
        <v>412</v>
      </c>
      <c r="W240" s="35" t="s">
        <v>365</v>
      </c>
      <c r="X240" s="36">
        <v>46177</v>
      </c>
      <c r="Y240" s="35" t="s">
        <v>413</v>
      </c>
      <c r="Z240" s="4">
        <f>IF(tblEnrollment[[#This Row],[Approved Date]]="",DATE(2026,6,3)-tblEnrollment[[#This Row],[Submitted Date]],tblEnrollment[[#This Row],[Approved Date]]-tblEnrollment[[#This Row],[Submitted Date]])</f>
        <v>80</v>
      </c>
      <c r="AA240" s="4" t="str">
        <f>IF(tblEnrollment[[#This Row],[Current Status]] ="Ready","Completed",IF(Z240&gt;21,"SLA Breached","Within SLA"))</f>
        <v>SLA Breached</v>
      </c>
      <c r="AB240" s="4" t="str">
        <f>IF(tblEnrollment[[#This Row],[Credentialed NPI]] =tblEnrollment[[#This Row],[Enrolled NPI]],"NPI Match","NPI Mismatch")</f>
        <v>NPI Mismatch</v>
      </c>
      <c r="AC240" s="4" t="str">
        <f>IF(OR(tblEnrollment[[#This Row],[Blocker Reason]] ="Individual NPI used instead of Group NPI",tblEnrollment[[#This Row],[Blocker Reason]] ="Credentialed NPI mismatch",tblEnrollment[[#This Row],[Blocker Reason]] ="Incorrect PTAN/Provider number"),"Yes","No")</f>
        <v>Yes</v>
      </c>
      <c r="AD240" s="4" t="str">
        <f>IF(OR(tblEnrollment[[#This Row],[Blocker Reason]] ="Wrong Payer ID",tblEnrollment[[#This Row],[Blocker Reason]] ="Old Payer ID used"),"Yes","No")</f>
        <v>No</v>
      </c>
      <c r="AE240" s="4" t="str">
        <f>IF(OR(tblEnrollment[[#This Row],[Clearinghouse Portal Updated]]="No",tblEnrollment[[#This Row],[Blocker Reason]] ="Clearinghouse portal not updated"),"Yes","No")</f>
        <v>No</v>
      </c>
      <c r="AF24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4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Status]]="Completed",AB240="NPI Match"),"Ready","Not Ready"),"Not Applicable")</f>
        <v>Not Ready</v>
      </c>
      <c r="AH240" s="4" t="str">
        <f>IF(OR(tblEnrollment[[#This Row],[Enrollment Type]]="ERA",tblEnrollment[[#This Row],[Enrollment Type]]="Claims and ERA"),IF(AND(tblEnrollment[[#This Row],[Credentialing Status]]="Completed",tblEnrollment[[#This Row],[ERA Enrollment Status]]="Approved",tblEnrollment[[#This Row],[Clearinghouse Configuration Status]]="Completed",AB240="NPI Match"),"Ready","Not Ready"),"Not Applicable")</f>
        <v>Not Ready</v>
      </c>
      <c r="AI240" s="4" t="str">
        <f>IF(tblEnrollment[[#This Row],[Blocker Reason]] ="No Blocker","No","Yes")</f>
        <v>Yes</v>
      </c>
    </row>
    <row r="241" spans="1:35" ht="29">
      <c r="A241" s="35" t="s">
        <v>1185</v>
      </c>
      <c r="B241" s="35" t="s">
        <v>63</v>
      </c>
      <c r="C241" s="35" t="s">
        <v>1186</v>
      </c>
      <c r="D241" s="35" t="s">
        <v>1187</v>
      </c>
      <c r="E241" s="35" t="s">
        <v>105</v>
      </c>
      <c r="F241" s="35" t="s">
        <v>105</v>
      </c>
      <c r="G241" s="35" t="s">
        <v>105</v>
      </c>
      <c r="H241" s="35" t="s">
        <v>107</v>
      </c>
      <c r="I241" s="35" t="s">
        <v>43</v>
      </c>
      <c r="J241" s="35" t="s">
        <v>357</v>
      </c>
      <c r="K241" s="35" t="s">
        <v>44</v>
      </c>
      <c r="L241" s="35" t="s">
        <v>1188</v>
      </c>
      <c r="M241" s="35" t="s">
        <v>45</v>
      </c>
      <c r="N241" s="35" t="s">
        <v>137</v>
      </c>
      <c r="O241" s="35" t="s">
        <v>57</v>
      </c>
      <c r="P241" s="35" t="s">
        <v>57</v>
      </c>
      <c r="Q241" s="35" t="s">
        <v>58</v>
      </c>
      <c r="R241" s="35" t="s">
        <v>57</v>
      </c>
      <c r="S241" s="36">
        <v>46160</v>
      </c>
      <c r="T241" s="36"/>
      <c r="U241" s="35" t="s">
        <v>56</v>
      </c>
      <c r="V241" s="35" t="s">
        <v>147</v>
      </c>
      <c r="W241" s="35" t="s">
        <v>349</v>
      </c>
      <c r="X241" s="36">
        <v>46186</v>
      </c>
      <c r="Y241" s="35" t="s">
        <v>406</v>
      </c>
      <c r="Z241" s="4">
        <f>IF(tblEnrollment[[#This Row],[Approved Date]]="",DATE(2026,6,3)-tblEnrollment[[#This Row],[Submitted Date]],tblEnrollment[[#This Row],[Approved Date]]-tblEnrollment[[#This Row],[Submitted Date]])</f>
        <v>16</v>
      </c>
      <c r="AA241" s="4" t="str">
        <f>IF(tblEnrollment[[#This Row],[Current Status]] ="Ready","Completed",IF(Z241&gt;21,"SLA Breached","Within SLA"))</f>
        <v>Within SLA</v>
      </c>
      <c r="AB241" s="4" t="str">
        <f>IF(tblEnrollment[[#This Row],[Credentialed NPI]] =tblEnrollment[[#This Row],[Enrolled NPI]],"NPI Match","NPI Mismatch")</f>
        <v>NPI Match</v>
      </c>
      <c r="AC241" s="4" t="str">
        <f>IF(OR(tblEnrollment[[#This Row],[Blocker Reason]] ="Individual NPI used instead of Group NPI",tblEnrollment[[#This Row],[Blocker Reason]] ="Credentialed NPI mismatch",tblEnrollment[[#This Row],[Blocker Reason]] ="Incorrect PTAN/Provider number"),"Yes","No")</f>
        <v>No</v>
      </c>
      <c r="AD241" s="4" t="str">
        <f>IF(OR(tblEnrollment[[#This Row],[Blocker Reason]] ="Wrong Payer ID",tblEnrollment[[#This Row],[Blocker Reason]] ="Old Payer ID used"),"Yes","No")</f>
        <v>No</v>
      </c>
      <c r="AE241" s="4" t="str">
        <f>IF(OR(tblEnrollment[[#This Row],[Clearinghouse Portal Updated]]="No",tblEnrollment[[#This Row],[Blocker Reason]] ="Clearinghouse portal not updated"),"Yes","No")</f>
        <v>Yes</v>
      </c>
      <c r="AF24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4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Status]]="Completed",AB241="NPI Match"),"Ready","Not Ready"),"Not Applicable")</f>
        <v>Not Ready</v>
      </c>
      <c r="AH241" s="4" t="str">
        <f>IF(OR(tblEnrollment[[#This Row],[Enrollment Type]]="ERA",tblEnrollment[[#This Row],[Enrollment Type]]="Claims and ERA"),IF(AND(tblEnrollment[[#This Row],[Credentialing Status]]="Completed",tblEnrollment[[#This Row],[ERA Enrollment Status]]="Approved",tblEnrollment[[#This Row],[Clearinghouse Configuration Status]]="Completed",AB241="NPI Match"),"Ready","Not Ready"),"Not Applicable")</f>
        <v>Not Ready</v>
      </c>
      <c r="AI241" s="4" t="str">
        <f>IF(tblEnrollment[[#This Row],[Blocker Reason]] ="No Blocker","No","Yes")</f>
        <v>Yes</v>
      </c>
    </row>
    <row r="242" spans="1:35" ht="29">
      <c r="A242" s="35" t="s">
        <v>1189</v>
      </c>
      <c r="B242" s="35" t="s">
        <v>16</v>
      </c>
      <c r="C242" s="35" t="s">
        <v>1190</v>
      </c>
      <c r="D242" s="35" t="s">
        <v>1191</v>
      </c>
      <c r="E242" s="35" t="s">
        <v>560</v>
      </c>
      <c r="F242" s="35" t="s">
        <v>560</v>
      </c>
      <c r="G242" s="35" t="s">
        <v>560</v>
      </c>
      <c r="H242" s="35" t="s">
        <v>127</v>
      </c>
      <c r="I242" s="35" t="s">
        <v>43</v>
      </c>
      <c r="J242" s="35" t="s">
        <v>336</v>
      </c>
      <c r="K242" s="35" t="s">
        <v>44</v>
      </c>
      <c r="L242" s="35" t="s">
        <v>1192</v>
      </c>
      <c r="M242" s="35" t="s">
        <v>55</v>
      </c>
      <c r="N242" s="35" t="s">
        <v>46</v>
      </c>
      <c r="O242" s="35" t="s">
        <v>138</v>
      </c>
      <c r="P242" s="35" t="s">
        <v>139</v>
      </c>
      <c r="Q242" s="35" t="s">
        <v>48</v>
      </c>
      <c r="R242" s="35" t="s">
        <v>140</v>
      </c>
      <c r="S242" s="36">
        <v>46041</v>
      </c>
      <c r="T242" s="36"/>
      <c r="U242" s="35" t="s">
        <v>141</v>
      </c>
      <c r="V242" s="35" t="s">
        <v>329</v>
      </c>
      <c r="W242" s="35" t="s">
        <v>349</v>
      </c>
      <c r="X242" s="36">
        <v>46184</v>
      </c>
      <c r="Y242" s="35" t="s">
        <v>331</v>
      </c>
      <c r="Z242" s="4">
        <f>IF(tblEnrollment[[#This Row],[Approved Date]]="",DATE(2026,6,3)-tblEnrollment[[#This Row],[Submitted Date]],tblEnrollment[[#This Row],[Approved Date]]-tblEnrollment[[#This Row],[Submitted Date]])</f>
        <v>135</v>
      </c>
      <c r="AA242" s="4" t="str">
        <f>IF(tblEnrollment[[#This Row],[Current Status]] ="Ready","Completed",IF(Z242&gt;21,"SLA Breached","Within SLA"))</f>
        <v>SLA Breached</v>
      </c>
      <c r="AB242" s="4" t="str">
        <f>IF(tblEnrollment[[#This Row],[Credentialed NPI]] =tblEnrollment[[#This Row],[Enrolled NPI]],"NPI Match","NPI Mismatch")</f>
        <v>NPI Match</v>
      </c>
      <c r="AC242" s="4" t="str">
        <f>IF(OR(tblEnrollment[[#This Row],[Blocker Reason]] ="Individual NPI used instead of Group NPI",tblEnrollment[[#This Row],[Blocker Reason]] ="Credentialed NPI mismatch",tblEnrollment[[#This Row],[Blocker Reason]] ="Incorrect PTAN/Provider number"),"Yes","No")</f>
        <v>No</v>
      </c>
      <c r="AD242" s="4" t="str">
        <f>IF(OR(tblEnrollment[[#This Row],[Blocker Reason]] ="Wrong Payer ID",tblEnrollment[[#This Row],[Blocker Reason]] ="Old Payer ID used"),"Yes","No")</f>
        <v>Yes</v>
      </c>
      <c r="AE242" s="4" t="str">
        <f>IF(OR(tblEnrollment[[#This Row],[Clearinghouse Portal Updated]]="No",tblEnrollment[[#This Row],[Blocker Reason]] ="Clearinghouse portal not updated"),"Yes","No")</f>
        <v>No</v>
      </c>
      <c r="AF242"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42"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Status]]="Completed",AB242="NPI Match"),"Ready","Not Ready"),"Not Applicable")</f>
        <v>Not Ready</v>
      </c>
      <c r="AH242" s="4" t="str">
        <f>IF(OR(tblEnrollment[[#This Row],[Enrollment Type]]="ERA",tblEnrollment[[#This Row],[Enrollment Type]]="Claims and ERA"),IF(AND(tblEnrollment[[#This Row],[Credentialing Status]]="Completed",tblEnrollment[[#This Row],[ERA Enrollment Status]]="Approved",tblEnrollment[[#This Row],[Clearinghouse Configuration Status]]="Completed",AB242="NPI Match"),"Ready","Not Ready"),"Not Applicable")</f>
        <v>Not Applicable</v>
      </c>
      <c r="AI242" s="4" t="str">
        <f>IF(tblEnrollment[[#This Row],[Blocker Reason]] ="No Blocker","No","Yes")</f>
        <v>Yes</v>
      </c>
    </row>
    <row r="243" spans="1:35" ht="29">
      <c r="A243" s="35" t="s">
        <v>1193</v>
      </c>
      <c r="B243" s="35" t="s">
        <v>61</v>
      </c>
      <c r="C243" s="35" t="s">
        <v>896</v>
      </c>
      <c r="D243" s="35" t="s">
        <v>1194</v>
      </c>
      <c r="E243" s="35" t="s">
        <v>91</v>
      </c>
      <c r="F243" s="35" t="s">
        <v>91</v>
      </c>
      <c r="G243" s="35" t="s">
        <v>507</v>
      </c>
      <c r="H243" s="35" t="s">
        <v>593</v>
      </c>
      <c r="I243" s="35" t="s">
        <v>129</v>
      </c>
      <c r="J243" s="35" t="s">
        <v>134</v>
      </c>
      <c r="K243" s="35" t="s">
        <v>44</v>
      </c>
      <c r="L243" s="35" t="s">
        <v>1195</v>
      </c>
      <c r="M243" s="35" t="s">
        <v>55</v>
      </c>
      <c r="N243" s="35" t="s">
        <v>46</v>
      </c>
      <c r="O243" s="35" t="s">
        <v>138</v>
      </c>
      <c r="P243" s="35" t="s">
        <v>139</v>
      </c>
      <c r="Q243" s="35" t="s">
        <v>48</v>
      </c>
      <c r="R243" s="35" t="s">
        <v>140</v>
      </c>
      <c r="S243" s="36">
        <v>46105</v>
      </c>
      <c r="T243" s="36"/>
      <c r="U243" s="35" t="s">
        <v>141</v>
      </c>
      <c r="V243" s="35" t="s">
        <v>144</v>
      </c>
      <c r="W243" s="35" t="s">
        <v>330</v>
      </c>
      <c r="X243" s="36">
        <v>46182</v>
      </c>
      <c r="Y243" s="35" t="s">
        <v>389</v>
      </c>
      <c r="Z243" s="4">
        <f>IF(tblEnrollment[[#This Row],[Approved Date]]="",DATE(2026,6,3)-tblEnrollment[[#This Row],[Submitted Date]],tblEnrollment[[#This Row],[Approved Date]]-tblEnrollment[[#This Row],[Submitted Date]])</f>
        <v>71</v>
      </c>
      <c r="AA243" s="4" t="str">
        <f>IF(tblEnrollment[[#This Row],[Current Status]] ="Ready","Completed",IF(Z243&gt;21,"SLA Breached","Within SLA"))</f>
        <v>SLA Breached</v>
      </c>
      <c r="AB243" s="4" t="str">
        <f>IF(tblEnrollment[[#This Row],[Credentialed NPI]] =tblEnrollment[[#This Row],[Enrolled NPI]],"NPI Match","NPI Mismatch")</f>
        <v>NPI Mismatch</v>
      </c>
      <c r="AC243" s="4" t="str">
        <f>IF(OR(tblEnrollment[[#This Row],[Blocker Reason]] ="Individual NPI used instead of Group NPI",tblEnrollment[[#This Row],[Blocker Reason]] ="Credentialed NPI mismatch",tblEnrollment[[#This Row],[Blocker Reason]] ="Incorrect PTAN/Provider number"),"Yes","No")</f>
        <v>Yes</v>
      </c>
      <c r="AD243" s="4" t="str">
        <f>IF(OR(tblEnrollment[[#This Row],[Blocker Reason]] ="Wrong Payer ID",tblEnrollment[[#This Row],[Blocker Reason]] ="Old Payer ID used"),"Yes","No")</f>
        <v>No</v>
      </c>
      <c r="AE243" s="4" t="str">
        <f>IF(OR(tblEnrollment[[#This Row],[Clearinghouse Portal Updated]]="No",tblEnrollment[[#This Row],[Blocker Reason]] ="Clearinghouse portal not updated"),"Yes","No")</f>
        <v>No</v>
      </c>
      <c r="AF243"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43"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Status]]="Completed",AB243="NPI Match"),"Ready","Not Ready"),"Not Applicable")</f>
        <v>Not Ready</v>
      </c>
      <c r="AH243" s="4" t="str">
        <f>IF(OR(tblEnrollment[[#This Row],[Enrollment Type]]="ERA",tblEnrollment[[#This Row],[Enrollment Type]]="Claims and ERA"),IF(AND(tblEnrollment[[#This Row],[Credentialing Status]]="Completed",tblEnrollment[[#This Row],[ERA Enrollment Status]]="Approved",tblEnrollment[[#This Row],[Clearinghouse Configuration Status]]="Completed",AB243="NPI Match"),"Ready","Not Ready"),"Not Applicable")</f>
        <v>Not Applicable</v>
      </c>
      <c r="AI243" s="4" t="str">
        <f>IF(tblEnrollment[[#This Row],[Blocker Reason]] ="No Blocker","No","Yes")</f>
        <v>Yes</v>
      </c>
    </row>
    <row r="244" spans="1:35" ht="29">
      <c r="A244" s="35" t="s">
        <v>1196</v>
      </c>
      <c r="B244" s="35" t="s">
        <v>69</v>
      </c>
      <c r="C244" s="35" t="s">
        <v>872</v>
      </c>
      <c r="D244" s="35" t="s">
        <v>1197</v>
      </c>
      <c r="E244" s="35" t="s">
        <v>97</v>
      </c>
      <c r="F244" s="35" t="s">
        <v>97</v>
      </c>
      <c r="G244" s="35" t="s">
        <v>97</v>
      </c>
      <c r="H244" s="35" t="s">
        <v>116</v>
      </c>
      <c r="I244" s="35" t="s">
        <v>131</v>
      </c>
      <c r="J244" s="35" t="s">
        <v>342</v>
      </c>
      <c r="K244" s="35" t="s">
        <v>53</v>
      </c>
      <c r="L244" s="35" t="s">
        <v>54</v>
      </c>
      <c r="M244" s="35" t="s">
        <v>55</v>
      </c>
      <c r="N244" s="35" t="s">
        <v>137</v>
      </c>
      <c r="O244" s="35" t="s">
        <v>57</v>
      </c>
      <c r="P244" s="35" t="s">
        <v>139</v>
      </c>
      <c r="Q244" s="35" t="s">
        <v>58</v>
      </c>
      <c r="R244" s="35" t="s">
        <v>57</v>
      </c>
      <c r="S244" s="36">
        <v>46057</v>
      </c>
      <c r="T244" s="36"/>
      <c r="U244" s="35" t="s">
        <v>56</v>
      </c>
      <c r="V244" s="35" t="s">
        <v>147</v>
      </c>
      <c r="W244" s="35" t="s">
        <v>330</v>
      </c>
      <c r="X244" s="36">
        <v>46186</v>
      </c>
      <c r="Y244" s="35" t="s">
        <v>406</v>
      </c>
      <c r="Z244" s="4">
        <f>IF(tblEnrollment[[#This Row],[Approved Date]]="",DATE(2026,6,3)-tblEnrollment[[#This Row],[Submitted Date]],tblEnrollment[[#This Row],[Approved Date]]-tblEnrollment[[#This Row],[Submitted Date]])</f>
        <v>119</v>
      </c>
      <c r="AA244" s="4" t="str">
        <f>IF(tblEnrollment[[#This Row],[Current Status]] ="Ready","Completed",IF(Z244&gt;21,"SLA Breached","Within SLA"))</f>
        <v>SLA Breached</v>
      </c>
      <c r="AB244" s="4" t="str">
        <f>IF(tblEnrollment[[#This Row],[Credentialed NPI]] =tblEnrollment[[#This Row],[Enrolled NPI]],"NPI Match","NPI Mismatch")</f>
        <v>NPI Match</v>
      </c>
      <c r="AC244" s="4" t="str">
        <f>IF(OR(tblEnrollment[[#This Row],[Blocker Reason]] ="Individual NPI used instead of Group NPI",tblEnrollment[[#This Row],[Blocker Reason]] ="Credentialed NPI mismatch",tblEnrollment[[#This Row],[Blocker Reason]] ="Incorrect PTAN/Provider number"),"Yes","No")</f>
        <v>No</v>
      </c>
      <c r="AD244" s="4" t="str">
        <f>IF(OR(tblEnrollment[[#This Row],[Blocker Reason]] ="Wrong Payer ID",tblEnrollment[[#This Row],[Blocker Reason]] ="Old Payer ID used"),"Yes","No")</f>
        <v>No</v>
      </c>
      <c r="AE244" s="4" t="str">
        <f>IF(OR(tblEnrollment[[#This Row],[Clearinghouse Portal Updated]]="No",tblEnrollment[[#This Row],[Blocker Reason]] ="Clearinghouse portal not updated"),"Yes","No")</f>
        <v>Yes</v>
      </c>
      <c r="AF244"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44"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Status]]="Completed",AB244="NPI Match"),"Ready","Not Ready"),"Not Applicable")</f>
        <v>Not Ready</v>
      </c>
      <c r="AH244" s="4" t="str">
        <f>IF(OR(tblEnrollment[[#This Row],[Enrollment Type]]="ERA",tblEnrollment[[#This Row],[Enrollment Type]]="Claims and ERA"),IF(AND(tblEnrollment[[#This Row],[Credentialing Status]]="Completed",tblEnrollment[[#This Row],[ERA Enrollment Status]]="Approved",tblEnrollment[[#This Row],[Clearinghouse Configuration Status]]="Completed",AB244="NPI Match"),"Ready","Not Ready"),"Not Applicable")</f>
        <v>Not Applicable</v>
      </c>
      <c r="AI244" s="4" t="str">
        <f>IF(tblEnrollment[[#This Row],[Blocker Reason]] ="No Blocker","No","Yes")</f>
        <v>Yes</v>
      </c>
    </row>
    <row r="245" spans="1:35" ht="29">
      <c r="A245" s="35" t="s">
        <v>1198</v>
      </c>
      <c r="B245" s="35" t="s">
        <v>69</v>
      </c>
      <c r="C245" s="35" t="s">
        <v>1199</v>
      </c>
      <c r="D245" s="35" t="s">
        <v>1200</v>
      </c>
      <c r="E245" s="35" t="s">
        <v>874</v>
      </c>
      <c r="F245" s="35" t="s">
        <v>874</v>
      </c>
      <c r="G245" s="35" t="s">
        <v>874</v>
      </c>
      <c r="H245" s="35" t="s">
        <v>500</v>
      </c>
      <c r="I245" s="35" t="s">
        <v>130</v>
      </c>
      <c r="J245" s="35" t="s">
        <v>393</v>
      </c>
      <c r="K245" s="35" t="s">
        <v>53</v>
      </c>
      <c r="L245" s="35" t="s">
        <v>54</v>
      </c>
      <c r="M245" s="35" t="s">
        <v>55</v>
      </c>
      <c r="N245" s="35" t="s">
        <v>46</v>
      </c>
      <c r="O245" s="35" t="s">
        <v>47</v>
      </c>
      <c r="P245" s="35" t="s">
        <v>139</v>
      </c>
      <c r="Q245" s="35" t="s">
        <v>48</v>
      </c>
      <c r="R245" s="35" t="s">
        <v>46</v>
      </c>
      <c r="S245" s="36">
        <v>46080</v>
      </c>
      <c r="T245" s="36">
        <v>46088</v>
      </c>
      <c r="U245" s="35" t="s">
        <v>49</v>
      </c>
      <c r="V245" s="35" t="s">
        <v>348</v>
      </c>
      <c r="W245" s="35" t="s">
        <v>349</v>
      </c>
      <c r="X245" s="36">
        <v>46183</v>
      </c>
      <c r="Y245" s="35" t="s">
        <v>350</v>
      </c>
      <c r="Z245" s="4">
        <f>IF(tblEnrollment[[#This Row],[Approved Date]]="",DATE(2026,6,3)-tblEnrollment[[#This Row],[Submitted Date]],tblEnrollment[[#This Row],[Approved Date]]-tblEnrollment[[#This Row],[Submitted Date]])</f>
        <v>8</v>
      </c>
      <c r="AA245" s="4" t="str">
        <f>IF(tblEnrollment[[#This Row],[Current Status]] ="Ready","Completed",IF(Z245&gt;21,"SLA Breached","Within SLA"))</f>
        <v>Completed</v>
      </c>
      <c r="AB245" s="4" t="str">
        <f>IF(tblEnrollment[[#This Row],[Credentialed NPI]] =tblEnrollment[[#This Row],[Enrolled NPI]],"NPI Match","NPI Mismatch")</f>
        <v>NPI Match</v>
      </c>
      <c r="AC245" s="4" t="str">
        <f>IF(OR(tblEnrollment[[#This Row],[Blocker Reason]] ="Individual NPI used instead of Group NPI",tblEnrollment[[#This Row],[Blocker Reason]] ="Credentialed NPI mismatch",tblEnrollment[[#This Row],[Blocker Reason]] ="Incorrect PTAN/Provider number"),"Yes","No")</f>
        <v>No</v>
      </c>
      <c r="AD245" s="4" t="str">
        <f>IF(OR(tblEnrollment[[#This Row],[Blocker Reason]] ="Wrong Payer ID",tblEnrollment[[#This Row],[Blocker Reason]] ="Old Payer ID used"),"Yes","No")</f>
        <v>No</v>
      </c>
      <c r="AE245" s="4" t="str">
        <f>IF(OR(tblEnrollment[[#This Row],[Clearinghouse Portal Updated]]="No",tblEnrollment[[#This Row],[Blocker Reason]] ="Clearinghouse portal not updated"),"Yes","No")</f>
        <v>No</v>
      </c>
      <c r="AF245"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45"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Status]]="Completed",AB245="NPI Match"),"Ready","Not Ready"),"Not Applicable")</f>
        <v>Ready</v>
      </c>
      <c r="AH245" s="4" t="str">
        <f>IF(OR(tblEnrollment[[#This Row],[Enrollment Type]]="ERA",tblEnrollment[[#This Row],[Enrollment Type]]="Claims and ERA"),IF(AND(tblEnrollment[[#This Row],[Credentialing Status]]="Completed",tblEnrollment[[#This Row],[ERA Enrollment Status]]="Approved",tblEnrollment[[#This Row],[Clearinghouse Configuration Status]]="Completed",AB245="NPI Match"),"Ready","Not Ready"),"Not Applicable")</f>
        <v>Not Applicable</v>
      </c>
      <c r="AI245" s="4" t="str">
        <f>IF(tblEnrollment[[#This Row],[Blocker Reason]] ="No Blocker","No","Yes")</f>
        <v>No</v>
      </c>
    </row>
    <row r="246" spans="1:35" ht="29">
      <c r="A246" s="35" t="s">
        <v>1201</v>
      </c>
      <c r="B246" s="35" t="s">
        <v>74</v>
      </c>
      <c r="C246" s="35" t="s">
        <v>472</v>
      </c>
      <c r="D246" s="35" t="s">
        <v>1202</v>
      </c>
      <c r="E246" s="35" t="s">
        <v>826</v>
      </c>
      <c r="F246" s="35" t="s">
        <v>826</v>
      </c>
      <c r="G246" s="35" t="s">
        <v>826</v>
      </c>
      <c r="H246" s="35" t="s">
        <v>114</v>
      </c>
      <c r="I246" s="35" t="s">
        <v>43</v>
      </c>
      <c r="J246" s="35" t="s">
        <v>357</v>
      </c>
      <c r="K246" s="35" t="s">
        <v>44</v>
      </c>
      <c r="L246" s="35" t="s">
        <v>1203</v>
      </c>
      <c r="M246" s="35" t="s">
        <v>55</v>
      </c>
      <c r="N246" s="35" t="s">
        <v>46</v>
      </c>
      <c r="O246" s="35" t="s">
        <v>47</v>
      </c>
      <c r="P246" s="35" t="s">
        <v>139</v>
      </c>
      <c r="Q246" s="35" t="s">
        <v>48</v>
      </c>
      <c r="R246" s="35" t="s">
        <v>137</v>
      </c>
      <c r="S246" s="36">
        <v>46158</v>
      </c>
      <c r="T246" s="36"/>
      <c r="U246" s="35" t="s">
        <v>56</v>
      </c>
      <c r="V246" s="35" t="s">
        <v>364</v>
      </c>
      <c r="W246" s="35" t="s">
        <v>330</v>
      </c>
      <c r="X246" s="36">
        <v>46180</v>
      </c>
      <c r="Y246" s="35" t="s">
        <v>366</v>
      </c>
      <c r="Z246" s="4">
        <f>IF(tblEnrollment[[#This Row],[Approved Date]]="",DATE(2026,6,3)-tblEnrollment[[#This Row],[Submitted Date]],tblEnrollment[[#This Row],[Approved Date]]-tblEnrollment[[#This Row],[Submitted Date]])</f>
        <v>18</v>
      </c>
      <c r="AA246" s="4" t="str">
        <f>IF(tblEnrollment[[#This Row],[Current Status]] ="Ready","Completed",IF(Z246&gt;21,"SLA Breached","Within SLA"))</f>
        <v>Within SLA</v>
      </c>
      <c r="AB246" s="4" t="str">
        <f>IF(tblEnrollment[[#This Row],[Credentialed NPI]] =tblEnrollment[[#This Row],[Enrolled NPI]],"NPI Match","NPI Mismatch")</f>
        <v>NPI Match</v>
      </c>
      <c r="AC246" s="4" t="str">
        <f>IF(OR(tblEnrollment[[#This Row],[Blocker Reason]] ="Individual NPI used instead of Group NPI",tblEnrollment[[#This Row],[Blocker Reason]] ="Credentialed NPI mismatch",tblEnrollment[[#This Row],[Blocker Reason]] ="Incorrect PTAN/Provider number"),"Yes","No")</f>
        <v>No</v>
      </c>
      <c r="AD246" s="4" t="str">
        <f>IF(OR(tblEnrollment[[#This Row],[Blocker Reason]] ="Wrong Payer ID",tblEnrollment[[#This Row],[Blocker Reason]] ="Old Payer ID used"),"Yes","No")</f>
        <v>No</v>
      </c>
      <c r="AE246" s="4" t="str">
        <f>IF(OR(tblEnrollment[[#This Row],[Clearinghouse Portal Updated]]="No",tblEnrollment[[#This Row],[Blocker Reason]] ="Clearinghouse portal not updated"),"Yes","No")</f>
        <v>No</v>
      </c>
      <c r="AF246"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46"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Status]]="Completed",AB246="NPI Match"),"Ready","Not Ready"),"Not Applicable")</f>
        <v>Not Ready</v>
      </c>
      <c r="AH246" s="4" t="str">
        <f>IF(OR(tblEnrollment[[#This Row],[Enrollment Type]]="ERA",tblEnrollment[[#This Row],[Enrollment Type]]="Claims and ERA"),IF(AND(tblEnrollment[[#This Row],[Credentialing Status]]="Completed",tblEnrollment[[#This Row],[ERA Enrollment Status]]="Approved",tblEnrollment[[#This Row],[Clearinghouse Configuration Status]]="Completed",AB246="NPI Match"),"Ready","Not Ready"),"Not Applicable")</f>
        <v>Not Applicable</v>
      </c>
      <c r="AI246" s="4" t="str">
        <f>IF(tblEnrollment[[#This Row],[Blocker Reason]] ="No Blocker","No","Yes")</f>
        <v>Yes</v>
      </c>
    </row>
    <row r="247" spans="1:35" ht="29">
      <c r="A247" s="35" t="s">
        <v>1204</v>
      </c>
      <c r="B247" s="35" t="s">
        <v>77</v>
      </c>
      <c r="C247" s="35" t="s">
        <v>613</v>
      </c>
      <c r="D247" s="35" t="s">
        <v>1205</v>
      </c>
      <c r="E247" s="35" t="s">
        <v>405</v>
      </c>
      <c r="F247" s="35" t="s">
        <v>405</v>
      </c>
      <c r="G247" s="35" t="s">
        <v>405</v>
      </c>
      <c r="H247" s="35" t="s">
        <v>123</v>
      </c>
      <c r="I247" s="35" t="s">
        <v>346</v>
      </c>
      <c r="J247" s="35" t="s">
        <v>347</v>
      </c>
      <c r="K247" s="35" t="s">
        <v>53</v>
      </c>
      <c r="L247" s="35" t="s">
        <v>54</v>
      </c>
      <c r="M247" s="35" t="s">
        <v>45</v>
      </c>
      <c r="N247" s="35" t="s">
        <v>46</v>
      </c>
      <c r="O247" s="35" t="s">
        <v>47</v>
      </c>
      <c r="P247" s="35" t="s">
        <v>47</v>
      </c>
      <c r="Q247" s="35" t="s">
        <v>48</v>
      </c>
      <c r="R247" s="35" t="s">
        <v>46</v>
      </c>
      <c r="S247" s="36">
        <v>46117</v>
      </c>
      <c r="T247" s="36">
        <v>46124</v>
      </c>
      <c r="U247" s="35" t="s">
        <v>49</v>
      </c>
      <c r="V247" s="35" t="s">
        <v>348</v>
      </c>
      <c r="W247" s="35" t="s">
        <v>338</v>
      </c>
      <c r="X247" s="36">
        <v>46179</v>
      </c>
      <c r="Y247" s="35" t="s">
        <v>350</v>
      </c>
      <c r="Z247" s="4">
        <f>IF(tblEnrollment[[#This Row],[Approved Date]]="",DATE(2026,6,3)-tblEnrollment[[#This Row],[Submitted Date]],tblEnrollment[[#This Row],[Approved Date]]-tblEnrollment[[#This Row],[Submitted Date]])</f>
        <v>7</v>
      </c>
      <c r="AA247" s="4" t="str">
        <f>IF(tblEnrollment[[#This Row],[Current Status]] ="Ready","Completed",IF(Z247&gt;21,"SLA Breached","Within SLA"))</f>
        <v>Completed</v>
      </c>
      <c r="AB247" s="4" t="str">
        <f>IF(tblEnrollment[[#This Row],[Credentialed NPI]] =tblEnrollment[[#This Row],[Enrolled NPI]],"NPI Match","NPI Mismatch")</f>
        <v>NPI Match</v>
      </c>
      <c r="AC247" s="4" t="str">
        <f>IF(OR(tblEnrollment[[#This Row],[Blocker Reason]] ="Individual NPI used instead of Group NPI",tblEnrollment[[#This Row],[Blocker Reason]] ="Credentialed NPI mismatch",tblEnrollment[[#This Row],[Blocker Reason]] ="Incorrect PTAN/Provider number"),"Yes","No")</f>
        <v>No</v>
      </c>
      <c r="AD247" s="4" t="str">
        <f>IF(OR(tblEnrollment[[#This Row],[Blocker Reason]] ="Wrong Payer ID",tblEnrollment[[#This Row],[Blocker Reason]] ="Old Payer ID used"),"Yes","No")</f>
        <v>No</v>
      </c>
      <c r="AE247" s="4" t="str">
        <f>IF(OR(tblEnrollment[[#This Row],[Clearinghouse Portal Updated]]="No",tblEnrollment[[#This Row],[Blocker Reason]] ="Clearinghouse portal not updated"),"Yes","No")</f>
        <v>No</v>
      </c>
      <c r="AF247"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47"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Status]]="Completed",AB247="NPI Match"),"Ready","Not Ready"),"Not Applicable")</f>
        <v>Ready</v>
      </c>
      <c r="AH247" s="4" t="str">
        <f>IF(OR(tblEnrollment[[#This Row],[Enrollment Type]]="ERA",tblEnrollment[[#This Row],[Enrollment Type]]="Claims and ERA"),IF(AND(tblEnrollment[[#This Row],[Credentialing Status]]="Completed",tblEnrollment[[#This Row],[ERA Enrollment Status]]="Approved",tblEnrollment[[#This Row],[Clearinghouse Configuration Status]]="Completed",AB247="NPI Match"),"Ready","Not Ready"),"Not Applicable")</f>
        <v>Ready</v>
      </c>
      <c r="AI247" s="4" t="str">
        <f>IF(tblEnrollment[[#This Row],[Blocker Reason]] ="No Blocker","No","Yes")</f>
        <v>No</v>
      </c>
    </row>
    <row r="248" spans="1:35" ht="29">
      <c r="A248" s="35" t="s">
        <v>1206</v>
      </c>
      <c r="B248" s="35" t="s">
        <v>391</v>
      </c>
      <c r="C248" s="35" t="s">
        <v>1207</v>
      </c>
      <c r="D248" s="35" t="s">
        <v>1208</v>
      </c>
      <c r="E248" s="35" t="s">
        <v>86</v>
      </c>
      <c r="F248" s="35" t="s">
        <v>86</v>
      </c>
      <c r="G248" s="35" t="s">
        <v>86</v>
      </c>
      <c r="H248" s="35" t="s">
        <v>703</v>
      </c>
      <c r="I248" s="35" t="s">
        <v>51</v>
      </c>
      <c r="J248" s="35" t="s">
        <v>52</v>
      </c>
      <c r="K248" s="35" t="s">
        <v>53</v>
      </c>
      <c r="L248" s="35" t="s">
        <v>54</v>
      </c>
      <c r="M248" s="35" t="s">
        <v>55</v>
      </c>
      <c r="N248" s="35" t="s">
        <v>46</v>
      </c>
      <c r="O248" s="35" t="s">
        <v>47</v>
      </c>
      <c r="P248" s="35" t="s">
        <v>139</v>
      </c>
      <c r="Q248" s="35" t="s">
        <v>48</v>
      </c>
      <c r="R248" s="35" t="s">
        <v>46</v>
      </c>
      <c r="S248" s="36">
        <v>46136</v>
      </c>
      <c r="T248" s="36">
        <v>46153</v>
      </c>
      <c r="U248" s="35" t="s">
        <v>49</v>
      </c>
      <c r="V248" s="35" t="s">
        <v>348</v>
      </c>
      <c r="W248" s="35" t="s">
        <v>441</v>
      </c>
      <c r="X248" s="36">
        <v>46184</v>
      </c>
      <c r="Y248" s="35" t="s">
        <v>350</v>
      </c>
      <c r="Z248" s="4">
        <f>IF(tblEnrollment[[#This Row],[Approved Date]]="",DATE(2026,6,3)-tblEnrollment[[#This Row],[Submitted Date]],tblEnrollment[[#This Row],[Approved Date]]-tblEnrollment[[#This Row],[Submitted Date]])</f>
        <v>17</v>
      </c>
      <c r="AA248" s="4" t="str">
        <f>IF(tblEnrollment[[#This Row],[Current Status]] ="Ready","Completed",IF(Z248&gt;21,"SLA Breached","Within SLA"))</f>
        <v>Completed</v>
      </c>
      <c r="AB248" s="4" t="str">
        <f>IF(tblEnrollment[[#This Row],[Credentialed NPI]] =tblEnrollment[[#This Row],[Enrolled NPI]],"NPI Match","NPI Mismatch")</f>
        <v>NPI Match</v>
      </c>
      <c r="AC248" s="4" t="str">
        <f>IF(OR(tblEnrollment[[#This Row],[Blocker Reason]] ="Individual NPI used instead of Group NPI",tblEnrollment[[#This Row],[Blocker Reason]] ="Credentialed NPI mismatch",tblEnrollment[[#This Row],[Blocker Reason]] ="Incorrect PTAN/Provider number"),"Yes","No")</f>
        <v>No</v>
      </c>
      <c r="AD248" s="4" t="str">
        <f>IF(OR(tblEnrollment[[#This Row],[Blocker Reason]] ="Wrong Payer ID",tblEnrollment[[#This Row],[Blocker Reason]] ="Old Payer ID used"),"Yes","No")</f>
        <v>No</v>
      </c>
      <c r="AE248" s="4" t="str">
        <f>IF(OR(tblEnrollment[[#This Row],[Clearinghouse Portal Updated]]="No",tblEnrollment[[#This Row],[Blocker Reason]] ="Clearinghouse portal not updated"),"Yes","No")</f>
        <v>No</v>
      </c>
      <c r="AF248"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48"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Status]]="Completed",AB248="NPI Match"),"Ready","Not Ready"),"Not Applicable")</f>
        <v>Ready</v>
      </c>
      <c r="AH248" s="4" t="str">
        <f>IF(OR(tblEnrollment[[#This Row],[Enrollment Type]]="ERA",tblEnrollment[[#This Row],[Enrollment Type]]="Claims and ERA"),IF(AND(tblEnrollment[[#This Row],[Credentialing Status]]="Completed",tblEnrollment[[#This Row],[ERA Enrollment Status]]="Approved",tblEnrollment[[#This Row],[Clearinghouse Configuration Status]]="Completed",AB248="NPI Match"),"Ready","Not Ready"),"Not Applicable")</f>
        <v>Not Applicable</v>
      </c>
      <c r="AI248" s="4" t="str">
        <f>IF(tblEnrollment[[#This Row],[Blocker Reason]] ="No Blocker","No","Yes")</f>
        <v>No</v>
      </c>
    </row>
    <row r="249" spans="1:35" ht="29">
      <c r="A249" s="35" t="s">
        <v>1209</v>
      </c>
      <c r="B249" s="35" t="s">
        <v>391</v>
      </c>
      <c r="C249" s="35" t="s">
        <v>542</v>
      </c>
      <c r="D249" s="35" t="s">
        <v>1210</v>
      </c>
      <c r="E249" s="35" t="s">
        <v>409</v>
      </c>
      <c r="F249" s="35" t="s">
        <v>409</v>
      </c>
      <c r="G249" s="35" t="s">
        <v>409</v>
      </c>
      <c r="H249" s="35" t="s">
        <v>727</v>
      </c>
      <c r="I249" s="35" t="s">
        <v>131</v>
      </c>
      <c r="J249" s="35" t="s">
        <v>731</v>
      </c>
      <c r="K249" s="35" t="s">
        <v>53</v>
      </c>
      <c r="L249" s="35" t="s">
        <v>54</v>
      </c>
      <c r="M249" s="35" t="s">
        <v>55</v>
      </c>
      <c r="N249" s="35" t="s">
        <v>46</v>
      </c>
      <c r="O249" s="35" t="s">
        <v>138</v>
      </c>
      <c r="P249" s="35" t="s">
        <v>139</v>
      </c>
      <c r="Q249" s="35" t="s">
        <v>48</v>
      </c>
      <c r="R249" s="35" t="s">
        <v>140</v>
      </c>
      <c r="S249" s="36">
        <v>46050</v>
      </c>
      <c r="T249" s="36"/>
      <c r="U249" s="35" t="s">
        <v>141</v>
      </c>
      <c r="V249" s="35" t="s">
        <v>329</v>
      </c>
      <c r="W249" s="35" t="s">
        <v>349</v>
      </c>
      <c r="X249" s="36">
        <v>46177</v>
      </c>
      <c r="Y249" s="35" t="s">
        <v>331</v>
      </c>
      <c r="Z249" s="4">
        <f>IF(tblEnrollment[[#This Row],[Approved Date]]="",DATE(2026,6,3)-tblEnrollment[[#This Row],[Submitted Date]],tblEnrollment[[#This Row],[Approved Date]]-tblEnrollment[[#This Row],[Submitted Date]])</f>
        <v>126</v>
      </c>
      <c r="AA249" s="4" t="str">
        <f>IF(tblEnrollment[[#This Row],[Current Status]] ="Ready","Completed",IF(Z249&gt;21,"SLA Breached","Within SLA"))</f>
        <v>SLA Breached</v>
      </c>
      <c r="AB249" s="4" t="str">
        <f>IF(tblEnrollment[[#This Row],[Credentialed NPI]] =tblEnrollment[[#This Row],[Enrolled NPI]],"NPI Match","NPI Mismatch")</f>
        <v>NPI Match</v>
      </c>
      <c r="AC249" s="4" t="str">
        <f>IF(OR(tblEnrollment[[#This Row],[Blocker Reason]] ="Individual NPI used instead of Group NPI",tblEnrollment[[#This Row],[Blocker Reason]] ="Credentialed NPI mismatch",tblEnrollment[[#This Row],[Blocker Reason]] ="Incorrect PTAN/Provider number"),"Yes","No")</f>
        <v>No</v>
      </c>
      <c r="AD249" s="4" t="str">
        <f>IF(OR(tblEnrollment[[#This Row],[Blocker Reason]] ="Wrong Payer ID",tblEnrollment[[#This Row],[Blocker Reason]] ="Old Payer ID used"),"Yes","No")</f>
        <v>Yes</v>
      </c>
      <c r="AE249" s="4" t="str">
        <f>IF(OR(tblEnrollment[[#This Row],[Clearinghouse Portal Updated]]="No",tblEnrollment[[#This Row],[Blocker Reason]] ="Clearinghouse portal not updated"),"Yes","No")</f>
        <v>No</v>
      </c>
      <c r="AF249"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49"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Status]]="Completed",AB249="NPI Match"),"Ready","Not Ready"),"Not Applicable")</f>
        <v>Not Ready</v>
      </c>
      <c r="AH249" s="4" t="str">
        <f>IF(OR(tblEnrollment[[#This Row],[Enrollment Type]]="ERA",tblEnrollment[[#This Row],[Enrollment Type]]="Claims and ERA"),IF(AND(tblEnrollment[[#This Row],[Credentialing Status]]="Completed",tblEnrollment[[#This Row],[ERA Enrollment Status]]="Approved",tblEnrollment[[#This Row],[Clearinghouse Configuration Status]]="Completed",AB249="NPI Match"),"Ready","Not Ready"),"Not Applicable")</f>
        <v>Not Applicable</v>
      </c>
      <c r="AI249" s="4" t="str">
        <f>IF(tblEnrollment[[#This Row],[Blocker Reason]] ="No Blocker","No","Yes")</f>
        <v>Yes</v>
      </c>
    </row>
    <row r="250" spans="1:35" ht="29">
      <c r="A250" s="35" t="s">
        <v>1211</v>
      </c>
      <c r="B250" s="35" t="s">
        <v>403</v>
      </c>
      <c r="C250" s="35" t="s">
        <v>1212</v>
      </c>
      <c r="D250" s="35" t="s">
        <v>1213</v>
      </c>
      <c r="E250" s="35" t="s">
        <v>334</v>
      </c>
      <c r="F250" s="35" t="s">
        <v>334</v>
      </c>
      <c r="G250" s="35" t="s">
        <v>544</v>
      </c>
      <c r="H250" s="35" t="s">
        <v>410</v>
      </c>
      <c r="I250" s="35" t="s">
        <v>132</v>
      </c>
      <c r="J250" s="35" t="s">
        <v>401</v>
      </c>
      <c r="K250" s="35" t="s">
        <v>53</v>
      </c>
      <c r="L250" s="35" t="s">
        <v>54</v>
      </c>
      <c r="M250" s="35" t="s">
        <v>45</v>
      </c>
      <c r="N250" s="35" t="s">
        <v>46</v>
      </c>
      <c r="O250" s="35" t="s">
        <v>138</v>
      </c>
      <c r="P250" s="35" t="s">
        <v>138</v>
      </c>
      <c r="Q250" s="35" t="s">
        <v>48</v>
      </c>
      <c r="R250" s="35" t="s">
        <v>140</v>
      </c>
      <c r="S250" s="36">
        <v>46044</v>
      </c>
      <c r="T250" s="36"/>
      <c r="U250" s="35" t="s">
        <v>141</v>
      </c>
      <c r="V250" s="35" t="s">
        <v>144</v>
      </c>
      <c r="W250" s="35" t="s">
        <v>441</v>
      </c>
      <c r="X250" s="36">
        <v>46186</v>
      </c>
      <c r="Y250" s="35" t="s">
        <v>389</v>
      </c>
      <c r="Z250" s="4">
        <f>IF(tblEnrollment[[#This Row],[Approved Date]]="",DATE(2026,6,3)-tblEnrollment[[#This Row],[Submitted Date]],tblEnrollment[[#This Row],[Approved Date]]-tblEnrollment[[#This Row],[Submitted Date]])</f>
        <v>132</v>
      </c>
      <c r="AA250" s="4" t="str">
        <f>IF(tblEnrollment[[#This Row],[Current Status]] ="Ready","Completed",IF(Z250&gt;21,"SLA Breached","Within SLA"))</f>
        <v>SLA Breached</v>
      </c>
      <c r="AB250" s="4" t="str">
        <f>IF(tblEnrollment[[#This Row],[Credentialed NPI]] =tblEnrollment[[#This Row],[Enrolled NPI]],"NPI Match","NPI Mismatch")</f>
        <v>NPI Mismatch</v>
      </c>
      <c r="AC250" s="4" t="str">
        <f>IF(OR(tblEnrollment[[#This Row],[Blocker Reason]] ="Individual NPI used instead of Group NPI",tblEnrollment[[#This Row],[Blocker Reason]] ="Credentialed NPI mismatch",tblEnrollment[[#This Row],[Blocker Reason]] ="Incorrect PTAN/Provider number"),"Yes","No")</f>
        <v>Yes</v>
      </c>
      <c r="AD250" s="4" t="str">
        <f>IF(OR(tblEnrollment[[#This Row],[Blocker Reason]] ="Wrong Payer ID",tblEnrollment[[#This Row],[Blocker Reason]] ="Old Payer ID used"),"Yes","No")</f>
        <v>No</v>
      </c>
      <c r="AE250" s="4" t="str">
        <f>IF(OR(tblEnrollment[[#This Row],[Clearinghouse Portal Updated]]="No",tblEnrollment[[#This Row],[Blocker Reason]] ="Clearinghouse portal not updated"),"Yes","No")</f>
        <v>No</v>
      </c>
      <c r="AF250"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50"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Status]]="Completed",AB250="NPI Match"),"Ready","Not Ready"),"Not Applicable")</f>
        <v>Not Ready</v>
      </c>
      <c r="AH250" s="4" t="str">
        <f>IF(OR(tblEnrollment[[#This Row],[Enrollment Type]]="ERA",tblEnrollment[[#This Row],[Enrollment Type]]="Claims and ERA"),IF(AND(tblEnrollment[[#This Row],[Credentialing Status]]="Completed",tblEnrollment[[#This Row],[ERA Enrollment Status]]="Approved",tblEnrollment[[#This Row],[Clearinghouse Configuration Status]]="Completed",AB250="NPI Match"),"Ready","Not Ready"),"Not Applicable")</f>
        <v>Not Ready</v>
      </c>
      <c r="AI250" s="4" t="str">
        <f>IF(tblEnrollment[[#This Row],[Blocker Reason]] ="No Blocker","No","Yes")</f>
        <v>Yes</v>
      </c>
    </row>
    <row r="251" spans="1:35" ht="29">
      <c r="A251" s="35" t="s">
        <v>1214</v>
      </c>
      <c r="B251" s="35" t="s">
        <v>71</v>
      </c>
      <c r="C251" s="35" t="s">
        <v>1215</v>
      </c>
      <c r="D251" s="35" t="s">
        <v>1216</v>
      </c>
      <c r="E251" s="35" t="s">
        <v>874</v>
      </c>
      <c r="F251" s="35" t="s">
        <v>874</v>
      </c>
      <c r="G251" s="35" t="s">
        <v>874</v>
      </c>
      <c r="H251" s="35" t="s">
        <v>619</v>
      </c>
      <c r="I251" s="35" t="s">
        <v>130</v>
      </c>
      <c r="J251" s="35" t="s">
        <v>393</v>
      </c>
      <c r="K251" s="35" t="s">
        <v>53</v>
      </c>
      <c r="L251" s="35" t="s">
        <v>54</v>
      </c>
      <c r="M251" s="35" t="s">
        <v>136</v>
      </c>
      <c r="N251" s="35" t="s">
        <v>137</v>
      </c>
      <c r="O251" s="35" t="s">
        <v>139</v>
      </c>
      <c r="P251" s="35" t="s">
        <v>57</v>
      </c>
      <c r="Q251" s="35" t="s">
        <v>58</v>
      </c>
      <c r="R251" s="35" t="s">
        <v>57</v>
      </c>
      <c r="S251" s="36">
        <v>46134</v>
      </c>
      <c r="T251" s="36"/>
      <c r="U251" s="35" t="s">
        <v>56</v>
      </c>
      <c r="V251" s="35" t="s">
        <v>147</v>
      </c>
      <c r="W251" s="35" t="s">
        <v>338</v>
      </c>
      <c r="X251" s="36">
        <v>46177</v>
      </c>
      <c r="Y251" s="35" t="s">
        <v>406</v>
      </c>
      <c r="Z251" s="4">
        <f>IF(tblEnrollment[[#This Row],[Approved Date]]="",DATE(2026,6,3)-tblEnrollment[[#This Row],[Submitted Date]],tblEnrollment[[#This Row],[Approved Date]]-tblEnrollment[[#This Row],[Submitted Date]])</f>
        <v>42</v>
      </c>
      <c r="AA251" s="4" t="str">
        <f>IF(tblEnrollment[[#This Row],[Current Status]] ="Ready","Completed",IF(Z251&gt;21,"SLA Breached","Within SLA"))</f>
        <v>SLA Breached</v>
      </c>
      <c r="AB251" s="4" t="str">
        <f>IF(tblEnrollment[[#This Row],[Credentialed NPI]] =tblEnrollment[[#This Row],[Enrolled NPI]],"NPI Match","NPI Mismatch")</f>
        <v>NPI Match</v>
      </c>
      <c r="AC251" s="4" t="str">
        <f>IF(OR(tblEnrollment[[#This Row],[Blocker Reason]] ="Individual NPI used instead of Group NPI",tblEnrollment[[#This Row],[Blocker Reason]] ="Credentialed NPI mismatch",tblEnrollment[[#This Row],[Blocker Reason]] ="Incorrect PTAN/Provider number"),"Yes","No")</f>
        <v>No</v>
      </c>
      <c r="AD251" s="4" t="str">
        <f>IF(OR(tblEnrollment[[#This Row],[Blocker Reason]] ="Wrong Payer ID",tblEnrollment[[#This Row],[Blocker Reason]] ="Old Payer ID used"),"Yes","No")</f>
        <v>No</v>
      </c>
      <c r="AE251" s="4" t="str">
        <f>IF(OR(tblEnrollment[[#This Row],[Clearinghouse Portal Updated]]="No",tblEnrollment[[#This Row],[Blocker Reason]] ="Clearinghouse portal not updated"),"Yes","No")</f>
        <v>Yes</v>
      </c>
      <c r="AF251" s="7" t="str">
        <f>IF(OR(tblEnrollment[[#This Row],[Blocker Reason]] ="Medicaid additional enrollment missing",tblEnrollment[Blocker Reason]="Medicaid requires additional enrollment after credentialing.",tblEnrollment[[#This Row],[Blocker Reason]] ="Incorrect PTAN/Provider number",tblEnrollment[[#This Row],[Blocker Reason]] ="Medicare additional enrollment missing"),"Yes","No")</f>
        <v>No</v>
      </c>
      <c r="AG251" s="4" t="str">
        <f>IF(OR(tblEnrollment[[#This Row],[Enrollment Type]]="Claims",tblEnrollment[[#This Row],[Enrollment Type]]="Claims and ERA"),IF(AND(tblEnrollment[[#This Row],[Credentialing Status]]="Completed",tblEnrollment[[#This Row],[Claims Enrollment Status]]="Approved",tblEnrollment[[#This Row],[Clearinghouse Configuration Status]]="Completed",AB251="NPI Match"),"Ready","Not Ready"),"Not Applicable")</f>
        <v>Not Applicable</v>
      </c>
      <c r="AH251" s="4" t="str">
        <f>IF(OR(tblEnrollment[[#This Row],[Enrollment Type]]="ERA",tblEnrollment[[#This Row],[Enrollment Type]]="Claims and ERA"),IF(AND(tblEnrollment[[#This Row],[Credentialing Status]]="Completed",tblEnrollment[[#This Row],[ERA Enrollment Status]]="Approved",tblEnrollment[[#This Row],[Clearinghouse Configuration Status]]="Completed",AB251="NPI Match"),"Ready","Not Ready"),"Not Applicable")</f>
        <v>Not Ready</v>
      </c>
      <c r="AI251" s="4" t="str">
        <f>IF(tblEnrollment[[#This Row],[Blocker Reason]] ="No Blocker","No","Yes")</f>
        <v>Yes</v>
      </c>
    </row>
    <row r="252" spans="1:35">
      <c r="B252" s="5"/>
      <c r="C252" s="5"/>
      <c r="D252" s="5"/>
      <c r="E252" s="5"/>
      <c r="F252" s="5"/>
      <c r="G252" s="5"/>
      <c r="H252" s="5"/>
      <c r="I252" s="5"/>
      <c r="J252" s="5"/>
      <c r="K252" s="5"/>
      <c r="L252" s="5"/>
      <c r="M252" s="5"/>
      <c r="N252" s="5"/>
      <c r="O252" s="5"/>
      <c r="P252" s="5"/>
      <c r="Q252" s="5"/>
      <c r="R252" s="5"/>
      <c r="S252" s="9"/>
      <c r="T252" s="5"/>
      <c r="U252" s="5"/>
      <c r="V252" s="5"/>
      <c r="W252" s="5"/>
      <c r="X252" s="9"/>
      <c r="Y252" s="10"/>
      <c r="Z252" s="5"/>
      <c r="AA252" s="5"/>
      <c r="AB252" s="5"/>
      <c r="AC252" s="5"/>
      <c r="AD252" s="5"/>
      <c r="AE252" s="5"/>
      <c r="AF252" s="5"/>
      <c r="AG252" s="5"/>
      <c r="AH252" s="5"/>
      <c r="AI252" s="5"/>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tabSelected="1" workbookViewId="0">
      <selection sqref="A1:D13"/>
    </sheetView>
  </sheetViews>
  <sheetFormatPr defaultRowHeight="14.5"/>
  <cols>
    <col min="1" max="1" width="19.7265625" bestFit="1" customWidth="1"/>
    <col min="2" max="2" width="16.08984375" customWidth="1"/>
    <col min="3" max="3" width="13.7265625" customWidth="1"/>
    <col min="4" max="4" width="13.54296875" customWidth="1"/>
  </cols>
  <sheetData>
    <row r="1" spans="1:4">
      <c r="A1" t="s">
        <v>210</v>
      </c>
      <c r="B1" t="s">
        <v>211</v>
      </c>
      <c r="C1" t="s">
        <v>212</v>
      </c>
      <c r="D1" t="s">
        <v>213</v>
      </c>
    </row>
    <row r="2" spans="1:4">
      <c r="A2" t="s">
        <v>198</v>
      </c>
      <c r="B2">
        <v>250</v>
      </c>
      <c r="C2">
        <f>ROWS(tblEnrollment[Record ID])</f>
        <v>250</v>
      </c>
      <c r="D2" t="str">
        <f>IF(Table2[[#This Row],[Expected Result]]=Table2[[#This Row],[Actual Result]],"Pass","Check")</f>
        <v>Pass</v>
      </c>
    </row>
    <row r="3" spans="1:4">
      <c r="A3" t="s">
        <v>214</v>
      </c>
      <c r="B3">
        <v>0</v>
      </c>
      <c r="C3">
        <f>COUNTBLANK(tblEnrollment[Record ID])</f>
        <v>0</v>
      </c>
      <c r="D3" t="str">
        <f>IF(Table2[[#This Row],[Expected Result]]=Table2[[#This Row],[Actual Result]],"Pass","Check")</f>
        <v>Pass</v>
      </c>
    </row>
    <row r="4" spans="1:4">
      <c r="A4" t="s">
        <v>215</v>
      </c>
      <c r="B4">
        <v>0</v>
      </c>
      <c r="C4">
        <f>COUNTBLANK(tblEnrollment[Practice Name])</f>
        <v>0</v>
      </c>
      <c r="D4" t="str">
        <f>IF(Table2[[#This Row],[Expected Result]]=Table2[[#This Row],[Actual Result]],"Pass","Check")</f>
        <v>Pass</v>
      </c>
    </row>
    <row r="5" spans="1:4">
      <c r="A5" t="s">
        <v>200</v>
      </c>
      <c r="B5">
        <v>0</v>
      </c>
      <c r="C5">
        <f>COUNTBLANK(tblEnrollment[Payer Name])</f>
        <v>0</v>
      </c>
      <c r="D5" t="str">
        <f>IF(Table2[[#This Row],[Expected Result]]=Table2[[#This Row],[Actual Result]],"Pass","Check")</f>
        <v>Pass</v>
      </c>
    </row>
    <row r="6" spans="1:4">
      <c r="A6" t="s">
        <v>202</v>
      </c>
      <c r="B6">
        <v>0</v>
      </c>
      <c r="C6">
        <f>COUNTBLANK(tblEnrollment[Submitted Date])</f>
        <v>0</v>
      </c>
      <c r="D6" t="str">
        <f>IF(Table2[[#This Row],[Expected Result]]=Table2[[#This Row],[Actual Result]],"Pass","Check")</f>
        <v>Pass</v>
      </c>
    </row>
    <row r="7" spans="1:4">
      <c r="A7" t="s">
        <v>203</v>
      </c>
      <c r="B7">
        <v>0</v>
      </c>
      <c r="C7">
        <f>ROWS(tblEnrollment[Current Status])-SUM(COUNTIF(tblEnrollment[Current Status],"Ready")+COUNTIF(tblEnrollment[Current Status],"Pending")+COUNTIF(tblEnrollment[Current Status],"Blocked"))</f>
        <v>0</v>
      </c>
      <c r="D7" t="str">
        <f>IF(Table2[[#This Row],[Expected Result]]=Table2[[#This Row],[Actual Result]],"Pass","Check")</f>
        <v>Pass</v>
      </c>
    </row>
    <row r="8" spans="1:4">
      <c r="A8" t="s">
        <v>228</v>
      </c>
      <c r="B8">
        <v>59</v>
      </c>
      <c r="C8">
        <f>COUNTIF(tblEnrollment[NPI Match Status],"NPI Mismatch")</f>
        <v>59</v>
      </c>
      <c r="D8" t="str">
        <f>IF(Table2[[#This Row],[Expected Result]]=Table2[[#This Row],[Actual Result]],"Pass","Check")</f>
        <v>Pass</v>
      </c>
    </row>
    <row r="9" spans="1:4">
      <c r="A9" t="s">
        <v>197</v>
      </c>
      <c r="B9">
        <v>158</v>
      </c>
      <c r="C9">
        <f>COUNTIF(working_clean_data!Z2:Z251,"&gt;21")</f>
        <v>158</v>
      </c>
      <c r="D9" t="str">
        <f>IF(Table2[[#This Row],[Expected Result]]=Table2[[#This Row],[Actual Result]],"Pass","Check")</f>
        <v>Pass</v>
      </c>
    </row>
    <row r="10" spans="1:4">
      <c r="A10" t="s">
        <v>216</v>
      </c>
      <c r="B10">
        <v>158</v>
      </c>
      <c r="C10">
        <f>COUNTIF(tblEnrollment[SLA Status],"SLA Breached")</f>
        <v>158</v>
      </c>
      <c r="D10" t="str">
        <f>IF(Table2[[#This Row],[Expected Result]]=Table2[[#This Row],[Actual Result]],"Pass","Check")</f>
        <v>Pass</v>
      </c>
    </row>
    <row r="11" spans="1:4">
      <c r="A11" t="s">
        <v>1217</v>
      </c>
      <c r="B11">
        <v>48</v>
      </c>
      <c r="C11">
        <f>COUNTIF(tblEnrollment[Claims Ready Flag],"Ready")</f>
        <v>48</v>
      </c>
      <c r="D11" t="str">
        <f>IF(Table2[[#This Row],[Expected Result]]=Table2[[#This Row],[Actual Result]],"Pass","Check")</f>
        <v>Pass</v>
      </c>
    </row>
    <row r="12" spans="1:4">
      <c r="A12" t="s">
        <v>227</v>
      </c>
      <c r="B12">
        <v>38</v>
      </c>
      <c r="C12">
        <f>COUNTIF(tblEnrollment[ERA Ready Flag],"Ready")</f>
        <v>38</v>
      </c>
      <c r="D12" t="str">
        <f>IF(Table2[[#This Row],[Expected Result]]=Table2[[#This Row],[Actual Result]],"Pass","Check")</f>
        <v>Pass</v>
      </c>
    </row>
    <row r="13" spans="1:4">
      <c r="A13" t="s">
        <v>1219</v>
      </c>
      <c r="B13">
        <v>193</v>
      </c>
      <c r="C13" s="24">
        <f>COUNTIF(tblEnrollment[Action Required Flag],"Yes")</f>
        <v>193</v>
      </c>
      <c r="D13" s="24" t="str">
        <f>IF(Table2[[#This Row],[Expected Result]]=Table2[[#This Row],[Actual Result]],"Pass","Check")</f>
        <v>Pass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workbookViewId="0">
      <selection activeCell="B4" sqref="B4"/>
    </sheetView>
  </sheetViews>
  <sheetFormatPr defaultRowHeight="14.5"/>
  <cols>
    <col min="1" max="1" width="28.08984375" customWidth="1"/>
    <col min="4" max="4" width="17" bestFit="1" customWidth="1"/>
    <col min="5" max="5" width="12.1796875" bestFit="1" customWidth="1"/>
    <col min="6" max="6" width="5.90625" bestFit="1" customWidth="1"/>
    <col min="7" max="7" width="7.54296875" bestFit="1" customWidth="1"/>
    <col min="8" max="8" width="7.36328125" bestFit="1" customWidth="1"/>
    <col min="9" max="9" width="12" bestFit="1" customWidth="1"/>
  </cols>
  <sheetData>
    <row r="1" spans="1:11">
      <c r="A1" s="42" t="s">
        <v>220</v>
      </c>
      <c r="B1" s="42"/>
      <c r="C1" s="42"/>
      <c r="D1" s="42"/>
      <c r="E1" s="42"/>
      <c r="F1" s="42"/>
      <c r="G1" s="42"/>
      <c r="H1" s="42"/>
      <c r="I1" s="42"/>
      <c r="J1" s="42"/>
      <c r="K1" s="42"/>
    </row>
    <row r="2" spans="1:11" ht="15" thickBot="1"/>
    <row r="3" spans="1:11">
      <c r="A3" s="11" t="s">
        <v>221</v>
      </c>
      <c r="B3" s="12" t="s">
        <v>222</v>
      </c>
      <c r="D3" s="11" t="s">
        <v>7</v>
      </c>
      <c r="E3" s="19" t="s">
        <v>198</v>
      </c>
      <c r="F3" s="19" t="s">
        <v>49</v>
      </c>
      <c r="G3" s="19" t="s">
        <v>56</v>
      </c>
      <c r="H3" s="19" t="s">
        <v>141</v>
      </c>
      <c r="I3" s="12" t="s">
        <v>245</v>
      </c>
    </row>
    <row r="4" spans="1:11">
      <c r="A4" s="13" t="s">
        <v>155</v>
      </c>
      <c r="B4" s="14">
        <f>ROWS(tblEnrollment[Record ID])</f>
        <v>250</v>
      </c>
      <c r="D4" s="13" t="s">
        <v>43</v>
      </c>
      <c r="E4" s="20">
        <f>COUNTIF(tblEnrollment[Payer Name],summary_metrics!D4)</f>
        <v>39</v>
      </c>
      <c r="F4" s="20">
        <f>COUNTIFS(tblEnrollment[Payer Name],summary_metrics!D4,tblEnrollment[Current Status],"Ready")</f>
        <v>10</v>
      </c>
      <c r="G4" s="20">
        <f>COUNTIFS(tblEnrollment[Payer Name],summary_metrics!D4,tblEnrollment[Current Status],"Pending")</f>
        <v>17</v>
      </c>
      <c r="H4" s="20">
        <f>COUNTIFS(tblEnrollment[Payer Name],summary_metrics!D4,tblEnrollment[Current Status],"Blocked")</f>
        <v>12</v>
      </c>
      <c r="I4" s="14">
        <f>COUNTIFS(tblEnrollment[Payer Name],summary_metrics!D4,tblEnrollment[SLA Status],"SLA Breached")</f>
        <v>23</v>
      </c>
    </row>
    <row r="5" spans="1:11">
      <c r="A5" s="13" t="s">
        <v>158</v>
      </c>
      <c r="B5" s="14">
        <f>COUNTIF(tblEnrollment[Current Status],"Ready")</f>
        <v>57</v>
      </c>
      <c r="D5" s="13" t="s">
        <v>51</v>
      </c>
      <c r="E5" s="20">
        <f>COUNTIF(tblEnrollment[Payer Name],summary_metrics!D5)</f>
        <v>42</v>
      </c>
      <c r="F5" s="20">
        <f>COUNTIFS(tblEnrollment[Payer Name],summary_metrics!D5,tblEnrollment[Current Status],"Ready")</f>
        <v>10</v>
      </c>
      <c r="G5" s="20">
        <f>COUNTIFS(tblEnrollment[Payer Name],summary_metrics!D5,tblEnrollment[Current Status],"Pending")</f>
        <v>12</v>
      </c>
      <c r="H5" s="20">
        <f>COUNTIFS(tblEnrollment[Payer Name],summary_metrics!D5,tblEnrollment[Current Status],"Blocked")</f>
        <v>20</v>
      </c>
      <c r="I5" s="14">
        <f>COUNTIFS(tblEnrollment[Payer Name],summary_metrics!D5,tblEnrollment[SLA Status],"SLA Breached")</f>
        <v>23</v>
      </c>
    </row>
    <row r="6" spans="1:11">
      <c r="A6" s="13" t="s">
        <v>161</v>
      </c>
      <c r="B6" s="14">
        <f>COUNTIF(tblEnrollment[Current Status],"Pending")</f>
        <v>91</v>
      </c>
      <c r="D6" s="13" t="s">
        <v>129</v>
      </c>
      <c r="E6" s="20">
        <f>COUNTIF(tblEnrollment[Payer Name],summary_metrics!D6)</f>
        <v>27</v>
      </c>
      <c r="F6" s="20">
        <f>COUNTIFS(tblEnrollment[Payer Name],summary_metrics!D6,tblEnrollment[Current Status],"Ready")</f>
        <v>10</v>
      </c>
      <c r="G6" s="20">
        <f>COUNTIFS(tblEnrollment[Payer Name],summary_metrics!D6,tblEnrollment[Current Status],"Pending")</f>
        <v>5</v>
      </c>
      <c r="H6" s="20">
        <f>COUNTIFS(tblEnrollment[Payer Name],summary_metrics!D6,tblEnrollment[Current Status],"Blocked")</f>
        <v>12</v>
      </c>
      <c r="I6" s="14">
        <f>COUNTIFS(tblEnrollment[Payer Name],summary_metrics!D6,tblEnrollment[SLA Status],"SLA Breached")</f>
        <v>14</v>
      </c>
    </row>
    <row r="7" spans="1:11">
      <c r="A7" s="13" t="s">
        <v>164</v>
      </c>
      <c r="B7" s="14">
        <f>COUNTIF(tblEnrollment[Current Status],"Blocked")</f>
        <v>102</v>
      </c>
      <c r="D7" s="13" t="s">
        <v>130</v>
      </c>
      <c r="E7" s="20">
        <f>COUNTIF(tblEnrollment[Payer Name],summary_metrics!D7)</f>
        <v>31</v>
      </c>
      <c r="F7" s="20">
        <f>COUNTIFS(tblEnrollment[Payer Name],summary_metrics!D7,tblEnrollment[Current Status],"Ready")</f>
        <v>7</v>
      </c>
      <c r="G7" s="20">
        <f>COUNTIFS(tblEnrollment[Payer Name],summary_metrics!D7,tblEnrollment[Current Status],"Pending")</f>
        <v>13</v>
      </c>
      <c r="H7" s="20">
        <f>COUNTIFS(tblEnrollment[Payer Name],summary_metrics!D7,tblEnrollment[Current Status],"Blocked")</f>
        <v>11</v>
      </c>
      <c r="I7" s="14">
        <f>COUNTIFS(tblEnrollment[Payer Name],summary_metrics!D7,tblEnrollment[SLA Status],"SLA Breached")</f>
        <v>23</v>
      </c>
    </row>
    <row r="8" spans="1:11">
      <c r="A8" s="13" t="s">
        <v>223</v>
      </c>
      <c r="B8" s="14">
        <f>COUNTIF(tblEnrollment[Action Required Flag],"Yes")</f>
        <v>193</v>
      </c>
      <c r="D8" s="13" t="s">
        <v>346</v>
      </c>
      <c r="E8" s="20">
        <f>COUNTIF(tblEnrollment[Payer Name],summary_metrics!D8)</f>
        <v>32</v>
      </c>
      <c r="F8" s="20">
        <f>COUNTIFS(tblEnrollment[Payer Name],summary_metrics!D8,tblEnrollment[Current Status],"Ready")</f>
        <v>5</v>
      </c>
      <c r="G8" s="20">
        <f>COUNTIFS(tblEnrollment[Payer Name],summary_metrics!D8,tblEnrollment[Current Status],"Pending")</f>
        <v>12</v>
      </c>
      <c r="H8" s="20">
        <f>COUNTIFS(tblEnrollment[Payer Name],summary_metrics!D8,tblEnrollment[Current Status],"Blocked")</f>
        <v>15</v>
      </c>
      <c r="I8" s="14">
        <f>COUNTIFS(tblEnrollment[Payer Name],summary_metrics!D8,tblEnrollment[SLA Status],"SLA Breached")</f>
        <v>24</v>
      </c>
    </row>
    <row r="9" spans="1:11">
      <c r="A9" s="13" t="s">
        <v>224</v>
      </c>
      <c r="B9" s="14">
        <f>COUNTIF(tblEnrollment[SLA Status],"SLA Breached")</f>
        <v>158</v>
      </c>
      <c r="D9" s="13" t="s">
        <v>131</v>
      </c>
      <c r="E9" s="20">
        <f>COUNTIF(tblEnrollment[Payer Name],summary_metrics!D9)</f>
        <v>35</v>
      </c>
      <c r="F9" s="20">
        <f>COUNTIFS(tblEnrollment[Payer Name],summary_metrics!D9,tblEnrollment[Current Status],"Ready")</f>
        <v>6</v>
      </c>
      <c r="G9" s="20">
        <f>COUNTIFS(tblEnrollment[Payer Name],summary_metrics!D9,tblEnrollment[Current Status],"Pending")</f>
        <v>13</v>
      </c>
      <c r="H9" s="20">
        <f>COUNTIFS(tblEnrollment[Payer Name],summary_metrics!D9,tblEnrollment[Current Status],"Blocked")</f>
        <v>16</v>
      </c>
      <c r="I9" s="14">
        <f>COUNTIFS(tblEnrollment[Payer Name],summary_metrics!D9,tblEnrollment[SLA Status],"SLA Breached")</f>
        <v>25</v>
      </c>
    </row>
    <row r="10" spans="1:11" ht="15" thickBot="1">
      <c r="A10" s="13" t="s">
        <v>225</v>
      </c>
      <c r="B10" s="14">
        <f>AVERAGE(tblEnrollment[Aging Days])</f>
        <v>55.963999999999999</v>
      </c>
      <c r="D10" s="15" t="s">
        <v>132</v>
      </c>
      <c r="E10" s="21">
        <f>COUNTIF(tblEnrollment[Payer Name],summary_metrics!D10)</f>
        <v>44</v>
      </c>
      <c r="F10" s="21">
        <f>COUNTIFS(tblEnrollment[Payer Name],summary_metrics!D10,tblEnrollment[Current Status],"Ready")</f>
        <v>9</v>
      </c>
      <c r="G10" s="21">
        <f>COUNTIFS(tblEnrollment[Payer Name],summary_metrics!D10,tblEnrollment[Current Status],"Pending")</f>
        <v>19</v>
      </c>
      <c r="H10" s="21">
        <f>COUNTIFS(tblEnrollment[Payer Name],summary_metrics!D10,tblEnrollment[Current Status],"Blocked")</f>
        <v>16</v>
      </c>
      <c r="I10" s="16">
        <f>COUNTIFS(tblEnrollment[Payer Name],summary_metrics!D10,tblEnrollment[SLA Status],"SLA Breached")</f>
        <v>26</v>
      </c>
    </row>
    <row r="11" spans="1:11">
      <c r="A11" s="13" t="s">
        <v>226</v>
      </c>
      <c r="B11" s="14">
        <f>COUNTIF(tblEnrollment[Claims Ready Flag],"Ready")</f>
        <v>48</v>
      </c>
    </row>
    <row r="12" spans="1:11" ht="15" thickBot="1">
      <c r="A12" s="13" t="s">
        <v>233</v>
      </c>
      <c r="B12" s="14">
        <f>COUNTIF(tblEnrollment[ERA Ready Flag],"Ready")</f>
        <v>38</v>
      </c>
    </row>
    <row r="13" spans="1:11">
      <c r="A13" s="13" t="s">
        <v>176</v>
      </c>
      <c r="B13" s="14">
        <f>COUNTIF(tblEnrollment[NPI Match Status],"NPI Mismatch")</f>
        <v>59</v>
      </c>
      <c r="D13" s="43" t="s">
        <v>259</v>
      </c>
      <c r="E13" s="44"/>
    </row>
    <row r="14" spans="1:11">
      <c r="A14" s="13" t="s">
        <v>229</v>
      </c>
      <c r="B14" s="14">
        <f>COUNTIF(tblEnrollment[Provider Identifier Issue Flag],"Yes")</f>
        <v>64</v>
      </c>
      <c r="D14" s="13" t="s">
        <v>260</v>
      </c>
      <c r="E14" s="14">
        <f>COUNTIF(tblEnrollment[Claims Ready Flag],"Ready")</f>
        <v>48</v>
      </c>
    </row>
    <row r="15" spans="1:11" ht="15" thickBot="1">
      <c r="A15" s="13" t="s">
        <v>230</v>
      </c>
      <c r="B15" s="14">
        <f>COUNTIF(tblEnrollment[Payer Routing issue Flag],"Yes")</f>
        <v>38</v>
      </c>
      <c r="D15" s="15" t="s">
        <v>261</v>
      </c>
      <c r="E15" s="16">
        <f>COUNTIF(tblEnrollment[ERA Ready Flag],"Ready")</f>
        <v>38</v>
      </c>
    </row>
    <row r="16" spans="1:11">
      <c r="A16" s="13" t="s">
        <v>231</v>
      </c>
      <c r="B16" s="14">
        <f>COUNTIF(tblEnrollment[Clearinghouse gap Flag],"Yes")</f>
        <v>55</v>
      </c>
    </row>
    <row r="17" spans="1:2" ht="15" thickBot="1">
      <c r="A17" s="15" t="s">
        <v>232</v>
      </c>
      <c r="B17" s="16">
        <f>COUNTIF(tblEnrollment[Government Payer Issue Flag],"Yes")</f>
        <v>8</v>
      </c>
    </row>
    <row r="18" spans="1:2" ht="15" thickBot="1"/>
    <row r="19" spans="1:2">
      <c r="A19" s="11" t="s">
        <v>12</v>
      </c>
      <c r="B19" s="12" t="s">
        <v>234</v>
      </c>
    </row>
    <row r="20" spans="1:2">
      <c r="A20" s="13" t="s">
        <v>49</v>
      </c>
      <c r="B20" s="14">
        <f>COUNTIF(tblEnrollment[Current Status],summary_metrics!A20)</f>
        <v>57</v>
      </c>
    </row>
    <row r="21" spans="1:2">
      <c r="A21" s="13" t="s">
        <v>56</v>
      </c>
      <c r="B21" s="14">
        <f>COUNTIF(tblEnrollment[Current Status],summary_metrics!A21)</f>
        <v>91</v>
      </c>
    </row>
    <row r="22" spans="1:2" ht="15" thickBot="1">
      <c r="A22" s="15" t="s">
        <v>141</v>
      </c>
      <c r="B22" s="16">
        <f>COUNTIF(tblEnrollment[Current Status],summary_metrics!A22)</f>
        <v>102</v>
      </c>
    </row>
    <row r="23" spans="1:2" ht="15" thickBot="1"/>
    <row r="24" spans="1:2">
      <c r="A24" s="11" t="s">
        <v>235</v>
      </c>
      <c r="B24" s="12" t="s">
        <v>234</v>
      </c>
    </row>
    <row r="25" spans="1:2">
      <c r="A25" s="13" t="s">
        <v>136</v>
      </c>
      <c r="B25" s="14">
        <f>COUNTIF(tblEnrollment[Enrollment Type],summary_metrics!A25)</f>
        <v>52</v>
      </c>
    </row>
    <row r="26" spans="1:2">
      <c r="A26" s="13" t="s">
        <v>45</v>
      </c>
      <c r="B26" s="14">
        <f>COUNTIF(tblEnrollment[Enrollment Type],summary_metrics!A26)</f>
        <v>133</v>
      </c>
    </row>
    <row r="27" spans="1:2" ht="15" thickBot="1">
      <c r="A27" s="15" t="s">
        <v>55</v>
      </c>
      <c r="B27" s="16">
        <f>COUNTIF(tblEnrollment[Enrollment Type],summary_metrics!A27)</f>
        <v>65</v>
      </c>
    </row>
    <row r="28" spans="1:2" ht="15" thickBot="1"/>
    <row r="29" spans="1:2">
      <c r="A29" s="17" t="s">
        <v>236</v>
      </c>
      <c r="B29" s="18" t="s">
        <v>234</v>
      </c>
    </row>
    <row r="30" spans="1:2">
      <c r="A30" s="13" t="s">
        <v>50</v>
      </c>
      <c r="B30" s="14">
        <f>COUNTIF(tblEnrollment[Blocker Reason],summary_metrics!A30)</f>
        <v>57</v>
      </c>
    </row>
    <row r="31" spans="1:2">
      <c r="A31" s="13" t="s">
        <v>142</v>
      </c>
      <c r="B31" s="14">
        <f>COUNTIF(tblEnrollment[Blocker Reason],summary_metrics!A31)</f>
        <v>34</v>
      </c>
    </row>
    <row r="32" spans="1:2">
      <c r="A32" s="13" t="s">
        <v>520</v>
      </c>
      <c r="B32" s="14">
        <f>COUNTIF(tblEnrollment[Blocker Reason],summary_metrics!A32)</f>
        <v>1</v>
      </c>
    </row>
    <row r="33" spans="1:2">
      <c r="A33" s="13" t="s">
        <v>143</v>
      </c>
      <c r="B33" s="14">
        <f>COUNTIF(tblEnrollment[Blocker Reason],summary_metrics!A33)</f>
        <v>35</v>
      </c>
    </row>
    <row r="34" spans="1:2">
      <c r="A34" s="13" t="s">
        <v>144</v>
      </c>
      <c r="B34" s="14">
        <f>COUNTIF(tblEnrollment[Blocker Reason],summary_metrics!A34)</f>
        <v>25</v>
      </c>
    </row>
    <row r="35" spans="1:2">
      <c r="A35" s="13" t="s">
        <v>145</v>
      </c>
      <c r="B35" s="14">
        <f>COUNTIF(tblEnrollment[Blocker Reason],summary_metrics!A35)</f>
        <v>5</v>
      </c>
    </row>
    <row r="36" spans="1:2">
      <c r="A36" s="13" t="s">
        <v>146</v>
      </c>
      <c r="B36" s="14">
        <f>COUNTIF(tblEnrollment[Blocker Reason],summary_metrics!A36)</f>
        <v>15</v>
      </c>
    </row>
    <row r="37" spans="1:2">
      <c r="A37" s="13" t="s">
        <v>147</v>
      </c>
      <c r="B37" s="14">
        <f>COUNTIF(tblEnrollment[Blocker Reason],summary_metrics!A37)</f>
        <v>20</v>
      </c>
    </row>
    <row r="38" spans="1:2">
      <c r="A38" s="13" t="s">
        <v>148</v>
      </c>
      <c r="B38" s="14">
        <f>COUNTIF(tblEnrollment[Blocker Reason],summary_metrics!A38)</f>
        <v>17</v>
      </c>
    </row>
    <row r="39" spans="1:2">
      <c r="A39" s="13" t="s">
        <v>149</v>
      </c>
      <c r="B39" s="14">
        <f>COUNTIF(tblEnrollment[Blocker Reason],summary_metrics!A39)</f>
        <v>16</v>
      </c>
    </row>
    <row r="40" spans="1:2">
      <c r="A40" s="13" t="s">
        <v>150</v>
      </c>
      <c r="B40" s="14">
        <f>COUNTIF(tblEnrollment[Blocker Reason],summary_metrics!A40)</f>
        <v>23</v>
      </c>
    </row>
    <row r="41" spans="1:2" ht="15" thickBot="1">
      <c r="A41" s="15" t="s">
        <v>151</v>
      </c>
      <c r="B41" s="16">
        <f>COUNTIF(tblEnrollment[Blocker Reason],summary_metrics!A41)</f>
        <v>2</v>
      </c>
    </row>
    <row r="42" spans="1:2" ht="15" thickBot="1"/>
    <row r="43" spans="1:2">
      <c r="A43" s="11" t="s">
        <v>237</v>
      </c>
      <c r="B43" s="12" t="s">
        <v>234</v>
      </c>
    </row>
    <row r="44" spans="1:2">
      <c r="A44" s="13" t="s">
        <v>238</v>
      </c>
      <c r="B44" s="14">
        <f>B14</f>
        <v>64</v>
      </c>
    </row>
    <row r="45" spans="1:2">
      <c r="A45" s="13" t="s">
        <v>239</v>
      </c>
      <c r="B45" s="14">
        <f>B15</f>
        <v>38</v>
      </c>
    </row>
    <row r="46" spans="1:2">
      <c r="A46" s="13" t="s">
        <v>240</v>
      </c>
      <c r="B46" s="14">
        <f>B16</f>
        <v>55</v>
      </c>
    </row>
    <row r="47" spans="1:2">
      <c r="A47" s="13" t="s">
        <v>241</v>
      </c>
      <c r="B47" s="14">
        <f>B17</f>
        <v>8</v>
      </c>
    </row>
    <row r="48" spans="1:2">
      <c r="A48" s="13" t="s">
        <v>242</v>
      </c>
      <c r="B48" s="14">
        <f>COUNTIF(tblEnrollment[Blocker Reason],"Credentialing not completed")</f>
        <v>20</v>
      </c>
    </row>
    <row r="49" spans="1:2">
      <c r="A49" s="13" t="s">
        <v>243</v>
      </c>
      <c r="B49" s="14">
        <f>COUNTIF(tblEnrollment[Blocker Reason],"Missing payer approval")</f>
        <v>17</v>
      </c>
    </row>
    <row r="50" spans="1:2" ht="15" thickBot="1">
      <c r="A50" s="15" t="s">
        <v>244</v>
      </c>
      <c r="B50" s="16">
        <f>COUNTIF(tblEnrollment[Blocker Reason],"ERA Setup not completed")</f>
        <v>16</v>
      </c>
    </row>
  </sheetData>
  <mergeCells count="2">
    <mergeCell ref="A1:K1"/>
    <mergeCell ref="D13: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
  <sheetViews>
    <sheetView zoomScale="54" zoomScaleNormal="54" workbookViewId="0">
      <selection activeCell="A25" sqref="A25:E25"/>
    </sheetView>
  </sheetViews>
  <sheetFormatPr defaultRowHeight="14.5"/>
  <cols>
    <col min="1" max="1" width="21.26953125" customWidth="1"/>
    <col min="2" max="2" width="20.08984375" customWidth="1"/>
    <col min="3" max="3" width="10.1796875" customWidth="1"/>
    <col min="4" max="4" width="13.90625" customWidth="1"/>
    <col min="5" max="5" width="21.26953125" customWidth="1"/>
    <col min="6" max="6" width="13.90625" customWidth="1"/>
    <col min="7" max="7" width="17.453125" customWidth="1"/>
    <col min="8" max="8" width="24.54296875" customWidth="1"/>
    <col min="10" max="10" width="17.453125" customWidth="1"/>
    <col min="11" max="11" width="21.26953125" customWidth="1"/>
    <col min="12" max="12" width="10.1796875" customWidth="1"/>
    <col min="13" max="13" width="7.81640625" customWidth="1"/>
    <col min="14" max="14" width="13.90625" bestFit="1" customWidth="1"/>
  </cols>
  <sheetData>
    <row r="1" spans="1:14">
      <c r="A1" s="42" t="s">
        <v>247</v>
      </c>
      <c r="B1" s="42"/>
      <c r="D1" s="45" t="s">
        <v>248</v>
      </c>
      <c r="E1" s="45"/>
      <c r="F1" s="45"/>
      <c r="G1" s="45"/>
      <c r="H1" s="45"/>
      <c r="J1" s="45" t="s">
        <v>254</v>
      </c>
      <c r="K1" s="45"/>
      <c r="L1" s="45"/>
      <c r="M1" s="45"/>
      <c r="N1" s="45"/>
    </row>
    <row r="2" spans="1:14">
      <c r="A2" s="22" t="s">
        <v>12</v>
      </c>
      <c r="B2" t="s">
        <v>1218</v>
      </c>
      <c r="D2" s="22" t="s">
        <v>1218</v>
      </c>
      <c r="E2" s="22" t="s">
        <v>219</v>
      </c>
      <c r="J2" s="22" t="s">
        <v>1218</v>
      </c>
      <c r="K2" s="22" t="s">
        <v>219</v>
      </c>
    </row>
    <row r="3" spans="1:14">
      <c r="A3" s="23" t="s">
        <v>141</v>
      </c>
      <c r="B3" s="24">
        <v>102</v>
      </c>
      <c r="D3" s="22" t="s">
        <v>217</v>
      </c>
      <c r="E3" t="s">
        <v>141</v>
      </c>
      <c r="F3" t="s">
        <v>218</v>
      </c>
      <c r="J3" s="22" t="s">
        <v>217</v>
      </c>
      <c r="K3" t="s">
        <v>141</v>
      </c>
      <c r="L3" t="s">
        <v>56</v>
      </c>
      <c r="M3" t="s">
        <v>49</v>
      </c>
      <c r="N3" t="s">
        <v>218</v>
      </c>
    </row>
    <row r="4" spans="1:14">
      <c r="A4" s="23" t="s">
        <v>56</v>
      </c>
      <c r="B4" s="24">
        <v>91</v>
      </c>
      <c r="D4" s="23" t="s">
        <v>130</v>
      </c>
      <c r="E4" s="24">
        <v>11</v>
      </c>
      <c r="F4" s="24">
        <v>11</v>
      </c>
      <c r="J4" s="23" t="s">
        <v>55</v>
      </c>
      <c r="K4" s="24">
        <v>27</v>
      </c>
      <c r="L4" s="24">
        <v>19</v>
      </c>
      <c r="M4" s="24">
        <v>19</v>
      </c>
      <c r="N4" s="24">
        <v>65</v>
      </c>
    </row>
    <row r="5" spans="1:14">
      <c r="A5" s="23" t="s">
        <v>49</v>
      </c>
      <c r="B5" s="24">
        <v>57</v>
      </c>
      <c r="D5" s="23" t="s">
        <v>129</v>
      </c>
      <c r="E5" s="24">
        <v>12</v>
      </c>
      <c r="F5" s="24">
        <v>12</v>
      </c>
      <c r="J5" s="23" t="s">
        <v>45</v>
      </c>
      <c r="K5" s="24">
        <v>53</v>
      </c>
      <c r="L5" s="24">
        <v>51</v>
      </c>
      <c r="M5" s="24">
        <v>29</v>
      </c>
      <c r="N5" s="24">
        <v>133</v>
      </c>
    </row>
    <row r="6" spans="1:14">
      <c r="A6" s="23" t="s">
        <v>218</v>
      </c>
      <c r="B6" s="24">
        <v>250</v>
      </c>
      <c r="D6" s="23" t="s">
        <v>43</v>
      </c>
      <c r="E6" s="24">
        <v>12</v>
      </c>
      <c r="F6" s="24">
        <v>12</v>
      </c>
      <c r="J6" s="23" t="s">
        <v>136</v>
      </c>
      <c r="K6" s="24">
        <v>22</v>
      </c>
      <c r="L6" s="24">
        <v>21</v>
      </c>
      <c r="M6" s="24">
        <v>9</v>
      </c>
      <c r="N6" s="24">
        <v>52</v>
      </c>
    </row>
    <row r="7" spans="1:14">
      <c r="A7" s="22" t="s">
        <v>253</v>
      </c>
      <c r="B7" t="s">
        <v>48</v>
      </c>
      <c r="D7" s="23" t="s">
        <v>346</v>
      </c>
      <c r="E7" s="24">
        <v>15</v>
      </c>
      <c r="F7" s="24">
        <v>15</v>
      </c>
      <c r="J7" s="23" t="s">
        <v>218</v>
      </c>
      <c r="K7" s="24">
        <v>102</v>
      </c>
      <c r="L7" s="24">
        <v>91</v>
      </c>
      <c r="M7" s="24">
        <v>57</v>
      </c>
      <c r="N7" s="24">
        <v>250</v>
      </c>
    </row>
    <row r="8" spans="1:14">
      <c r="A8" s="42" t="s">
        <v>246</v>
      </c>
      <c r="B8" s="42"/>
      <c r="D8" s="23" t="s">
        <v>132</v>
      </c>
      <c r="E8" s="24">
        <v>16</v>
      </c>
      <c r="F8" s="24">
        <v>16</v>
      </c>
    </row>
    <row r="9" spans="1:14">
      <c r="A9" s="22" t="s">
        <v>217</v>
      </c>
      <c r="B9" t="s">
        <v>1218</v>
      </c>
      <c r="D9" s="23" t="s">
        <v>131</v>
      </c>
      <c r="E9" s="24">
        <v>16</v>
      </c>
      <c r="F9" s="24">
        <v>16</v>
      </c>
      <c r="J9" s="45" t="s">
        <v>255</v>
      </c>
      <c r="K9" s="45"/>
    </row>
    <row r="10" spans="1:14">
      <c r="A10" s="23" t="s">
        <v>147</v>
      </c>
      <c r="B10" s="24">
        <v>20</v>
      </c>
      <c r="D10" s="23" t="s">
        <v>51</v>
      </c>
      <c r="E10" s="24">
        <v>20</v>
      </c>
      <c r="F10" s="24">
        <v>20</v>
      </c>
      <c r="J10" s="22" t="s">
        <v>256</v>
      </c>
      <c r="K10" t="s">
        <v>1218</v>
      </c>
    </row>
    <row r="11" spans="1:14">
      <c r="A11" s="23" t="s">
        <v>329</v>
      </c>
      <c r="B11" s="24">
        <v>23</v>
      </c>
      <c r="D11" s="23" t="s">
        <v>218</v>
      </c>
      <c r="E11" s="24">
        <v>102</v>
      </c>
      <c r="F11" s="24">
        <v>102</v>
      </c>
      <c r="J11" s="23" t="s">
        <v>49</v>
      </c>
      <c r="K11" s="24">
        <v>48</v>
      </c>
    </row>
    <row r="12" spans="1:14">
      <c r="A12" s="23" t="s">
        <v>144</v>
      </c>
      <c r="B12" s="24">
        <v>25</v>
      </c>
      <c r="J12" s="23" t="s">
        <v>218</v>
      </c>
      <c r="K12" s="24">
        <v>48</v>
      </c>
    </row>
    <row r="13" spans="1:14">
      <c r="A13" s="23" t="s">
        <v>412</v>
      </c>
      <c r="B13" s="24">
        <v>34</v>
      </c>
      <c r="D13" s="45" t="s">
        <v>249</v>
      </c>
      <c r="E13" s="45"/>
      <c r="F13" s="45"/>
      <c r="G13" s="45"/>
      <c r="H13" s="45"/>
    </row>
    <row r="14" spans="1:14">
      <c r="A14" s="23" t="s">
        <v>143</v>
      </c>
      <c r="B14" s="24">
        <v>35</v>
      </c>
      <c r="D14" s="22" t="s">
        <v>1218</v>
      </c>
      <c r="E14" s="22" t="s">
        <v>219</v>
      </c>
    </row>
    <row r="15" spans="1:14">
      <c r="A15" s="23" t="s">
        <v>218</v>
      </c>
      <c r="B15" s="24">
        <v>137</v>
      </c>
      <c r="D15" s="22" t="s">
        <v>217</v>
      </c>
      <c r="E15" t="s">
        <v>245</v>
      </c>
      <c r="F15" t="s">
        <v>218</v>
      </c>
      <c r="J15" s="22" t="s">
        <v>257</v>
      </c>
      <c r="K15" t="s">
        <v>1218</v>
      </c>
    </row>
    <row r="16" spans="1:14">
      <c r="D16" s="23" t="s">
        <v>129</v>
      </c>
      <c r="E16" s="24">
        <v>14</v>
      </c>
      <c r="F16" s="24">
        <v>14</v>
      </c>
      <c r="J16" s="23" t="s">
        <v>49</v>
      </c>
      <c r="K16" s="24">
        <v>38</v>
      </c>
    </row>
    <row r="17" spans="1:11">
      <c r="D17" s="23" t="s">
        <v>51</v>
      </c>
      <c r="E17" s="24">
        <v>23</v>
      </c>
      <c r="F17" s="24">
        <v>23</v>
      </c>
      <c r="J17" s="23" t="s">
        <v>218</v>
      </c>
      <c r="K17" s="24">
        <v>38</v>
      </c>
    </row>
    <row r="18" spans="1:11">
      <c r="D18" s="23" t="s">
        <v>43</v>
      </c>
      <c r="E18" s="24">
        <v>23</v>
      </c>
      <c r="F18" s="24">
        <v>23</v>
      </c>
    </row>
    <row r="19" spans="1:11">
      <c r="D19" s="23" t="s">
        <v>130</v>
      </c>
      <c r="E19" s="24">
        <v>23</v>
      </c>
      <c r="F19" s="24">
        <v>23</v>
      </c>
    </row>
    <row r="20" spans="1:11">
      <c r="D20" s="23" t="s">
        <v>346</v>
      </c>
      <c r="E20" s="24">
        <v>24</v>
      </c>
      <c r="F20" s="24">
        <v>24</v>
      </c>
    </row>
    <row r="21" spans="1:11">
      <c r="D21" s="23" t="s">
        <v>131</v>
      </c>
      <c r="E21" s="24">
        <v>25</v>
      </c>
      <c r="F21" s="24">
        <v>25</v>
      </c>
    </row>
    <row r="22" spans="1:11">
      <c r="D22" s="23" t="s">
        <v>132</v>
      </c>
      <c r="E22" s="24">
        <v>26</v>
      </c>
      <c r="F22" s="24">
        <v>26</v>
      </c>
    </row>
    <row r="23" spans="1:11">
      <c r="D23" s="23" t="s">
        <v>218</v>
      </c>
      <c r="E23" s="24">
        <v>158</v>
      </c>
      <c r="F23" s="24">
        <v>158</v>
      </c>
    </row>
    <row r="24" spans="1:11">
      <c r="A24" s="22" t="s">
        <v>253</v>
      </c>
      <c r="B24" t="s">
        <v>48</v>
      </c>
      <c r="D24" s="23"/>
      <c r="E24" s="24"/>
      <c r="F24" s="24"/>
    </row>
    <row r="25" spans="1:11">
      <c r="A25" s="45" t="s">
        <v>250</v>
      </c>
      <c r="B25" s="45"/>
      <c r="C25" s="45"/>
      <c r="D25" s="45"/>
      <c r="E25" s="45"/>
    </row>
    <row r="26" spans="1:11">
      <c r="A26" s="22" t="s">
        <v>1218</v>
      </c>
      <c r="B26" s="22" t="s">
        <v>252</v>
      </c>
    </row>
    <row r="27" spans="1:11">
      <c r="A27" s="22" t="s">
        <v>251</v>
      </c>
      <c r="B27" t="s">
        <v>141</v>
      </c>
      <c r="C27" t="s">
        <v>56</v>
      </c>
      <c r="D27" t="s">
        <v>218</v>
      </c>
      <c r="G27" s="23"/>
      <c r="H27" s="24"/>
    </row>
    <row r="28" spans="1:11">
      <c r="A28" s="23" t="s">
        <v>441</v>
      </c>
      <c r="B28" s="24">
        <v>19</v>
      </c>
      <c r="C28" s="24">
        <v>14</v>
      </c>
      <c r="D28" s="24">
        <v>33</v>
      </c>
      <c r="G28" s="23"/>
      <c r="H28" s="24"/>
    </row>
    <row r="29" spans="1:11">
      <c r="A29" s="23" t="s">
        <v>365</v>
      </c>
      <c r="B29" s="24">
        <v>15</v>
      </c>
      <c r="C29" s="24">
        <v>19</v>
      </c>
      <c r="D29" s="24">
        <v>34</v>
      </c>
      <c r="G29" s="23"/>
      <c r="H29" s="24"/>
    </row>
    <row r="30" spans="1:11">
      <c r="A30" s="23" t="s">
        <v>338</v>
      </c>
      <c r="B30" s="24">
        <v>17</v>
      </c>
      <c r="C30" s="24">
        <v>19</v>
      </c>
      <c r="D30" s="24">
        <v>36</v>
      </c>
      <c r="G30" s="23"/>
      <c r="H30" s="24"/>
    </row>
    <row r="31" spans="1:11">
      <c r="A31" s="23" t="s">
        <v>349</v>
      </c>
      <c r="B31" s="24">
        <v>24</v>
      </c>
      <c r="C31" s="24">
        <v>20</v>
      </c>
      <c r="D31" s="24">
        <v>44</v>
      </c>
      <c r="G31" s="23"/>
      <c r="H31" s="24"/>
    </row>
    <row r="32" spans="1:11">
      <c r="A32" s="23" t="s">
        <v>330</v>
      </c>
      <c r="B32" s="24">
        <v>27</v>
      </c>
      <c r="C32" s="24">
        <v>19</v>
      </c>
      <c r="D32" s="24">
        <v>46</v>
      </c>
      <c r="G32" s="23"/>
      <c r="H32" s="24"/>
    </row>
    <row r="33" spans="1:8">
      <c r="A33" s="23" t="s">
        <v>218</v>
      </c>
      <c r="B33" s="24">
        <v>102</v>
      </c>
      <c r="C33" s="24">
        <v>91</v>
      </c>
      <c r="D33" s="24">
        <v>193</v>
      </c>
      <c r="G33" s="23"/>
      <c r="H33" s="24"/>
    </row>
    <row r="34" spans="1:8">
      <c r="G34" s="23"/>
      <c r="H34" s="24"/>
    </row>
  </sheetData>
  <mergeCells count="7">
    <mergeCell ref="D13:H13"/>
    <mergeCell ref="A25:E25"/>
    <mergeCell ref="J1:N1"/>
    <mergeCell ref="J9:K9"/>
    <mergeCell ref="A8:B8"/>
    <mergeCell ref="A1:B1"/>
    <mergeCell ref="D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6"/>
  <sheetViews>
    <sheetView showGridLines="0" zoomScale="56" zoomScaleNormal="56" workbookViewId="0">
      <selection sqref="A1:Q56"/>
    </sheetView>
  </sheetViews>
  <sheetFormatPr defaultColWidth="8.81640625" defaultRowHeight="14.5"/>
  <sheetData>
    <row r="1" spans="1:17" ht="14.5" customHeight="1">
      <c r="A1" s="46" t="s">
        <v>1238</v>
      </c>
      <c r="B1" s="47"/>
      <c r="C1" s="47"/>
      <c r="D1" s="47"/>
      <c r="E1" s="47"/>
      <c r="F1" s="47"/>
      <c r="G1" s="47"/>
      <c r="H1" s="47"/>
      <c r="I1" s="47"/>
      <c r="J1" s="47"/>
      <c r="K1" s="47"/>
      <c r="L1" s="47"/>
      <c r="M1" s="47"/>
      <c r="N1" s="47"/>
      <c r="O1" s="47"/>
      <c r="P1" s="47"/>
      <c r="Q1" s="47"/>
    </row>
    <row r="2" spans="1:17" ht="14.5" customHeight="1">
      <c r="A2" s="46"/>
      <c r="B2" s="47"/>
      <c r="C2" s="47"/>
      <c r="D2" s="47"/>
      <c r="E2" s="47"/>
      <c r="F2" s="47"/>
      <c r="G2" s="47"/>
      <c r="H2" s="47"/>
      <c r="I2" s="47"/>
      <c r="J2" s="47"/>
      <c r="K2" s="47"/>
      <c r="L2" s="47"/>
      <c r="M2" s="47"/>
      <c r="N2" s="47"/>
      <c r="O2" s="47"/>
      <c r="P2" s="47"/>
      <c r="Q2" s="47"/>
    </row>
    <row r="3" spans="1:17" ht="17" customHeight="1">
      <c r="A3" s="46"/>
      <c r="B3" s="47"/>
      <c r="C3" s="47"/>
      <c r="D3" s="47"/>
      <c r="E3" s="47"/>
      <c r="F3" s="47"/>
      <c r="G3" s="47"/>
      <c r="H3" s="47"/>
      <c r="I3" s="47"/>
      <c r="J3" s="47"/>
      <c r="K3" s="47"/>
      <c r="L3" s="47"/>
      <c r="M3" s="47"/>
      <c r="N3" s="47"/>
      <c r="O3" s="47"/>
      <c r="P3" s="47"/>
      <c r="Q3" s="47"/>
    </row>
    <row r="4" spans="1:17" ht="14.5" customHeight="1">
      <c r="A4" s="48" t="s">
        <v>1239</v>
      </c>
      <c r="B4" s="49"/>
      <c r="C4" s="49"/>
      <c r="D4" s="49"/>
      <c r="E4" s="49"/>
      <c r="F4" s="49"/>
      <c r="G4" s="49"/>
      <c r="H4" s="49"/>
      <c r="I4" s="49"/>
      <c r="J4" s="49"/>
      <c r="K4" s="49"/>
      <c r="L4" s="49"/>
      <c r="M4" s="49"/>
      <c r="N4" s="49"/>
      <c r="O4" s="49"/>
      <c r="P4" s="49"/>
      <c r="Q4" s="49"/>
    </row>
    <row r="5" spans="1:17" ht="3" customHeight="1">
      <c r="A5" s="25"/>
      <c r="B5" s="25"/>
      <c r="C5" s="25"/>
      <c r="D5" s="25"/>
      <c r="E5" s="25"/>
      <c r="F5" s="25"/>
      <c r="G5" s="25"/>
      <c r="H5" s="25"/>
      <c r="I5" s="25"/>
      <c r="J5" s="25"/>
      <c r="K5" s="25"/>
      <c r="L5" s="25"/>
      <c r="M5" s="25"/>
      <c r="N5" s="25"/>
      <c r="O5" s="25"/>
    </row>
    <row r="6" spans="1:17" ht="14.5" customHeight="1">
      <c r="A6" s="50" t="s">
        <v>198</v>
      </c>
      <c r="B6" s="51"/>
      <c r="C6" s="50" t="s">
        <v>49</v>
      </c>
      <c r="D6" s="51"/>
      <c r="E6" s="50" t="s">
        <v>56</v>
      </c>
      <c r="F6" s="51"/>
      <c r="G6" s="50" t="s">
        <v>141</v>
      </c>
      <c r="H6" s="51"/>
      <c r="I6" s="50" t="s">
        <v>262</v>
      </c>
      <c r="J6" s="51"/>
      <c r="K6" s="50"/>
      <c r="L6" s="50" t="s">
        <v>245</v>
      </c>
      <c r="M6" s="51"/>
      <c r="N6" s="50" t="s">
        <v>260</v>
      </c>
      <c r="O6" s="51"/>
      <c r="P6" s="50" t="s">
        <v>258</v>
      </c>
      <c r="Q6" s="51"/>
    </row>
    <row r="7" spans="1:17" ht="14.5" customHeight="1">
      <c r="A7" s="52"/>
      <c r="B7" s="53"/>
      <c r="C7" s="52"/>
      <c r="D7" s="53"/>
      <c r="E7" s="52"/>
      <c r="F7" s="53"/>
      <c r="G7" s="52"/>
      <c r="H7" s="53"/>
      <c r="I7" s="52"/>
      <c r="J7" s="53"/>
      <c r="K7" s="52"/>
      <c r="L7" s="52"/>
      <c r="M7" s="53"/>
      <c r="N7" s="52"/>
      <c r="O7" s="53"/>
      <c r="P7" s="52"/>
      <c r="Q7" s="53"/>
    </row>
    <row r="8" spans="1:17" ht="14.5" customHeight="1">
      <c r="A8" s="93">
        <f>summary_metrics!B4</f>
        <v>250</v>
      </c>
      <c r="B8" s="94"/>
      <c r="C8" s="97">
        <f>summary_metrics!B5</f>
        <v>57</v>
      </c>
      <c r="D8" s="98"/>
      <c r="E8" s="101">
        <f>summary_metrics!B6</f>
        <v>91</v>
      </c>
      <c r="F8" s="102"/>
      <c r="G8" s="105">
        <f>summary_metrics!B7</f>
        <v>102</v>
      </c>
      <c r="H8" s="106"/>
      <c r="I8" s="79">
        <f>summary_metrics!B8</f>
        <v>193</v>
      </c>
      <c r="J8" s="80"/>
      <c r="K8" s="81"/>
      <c r="L8" s="85">
        <f>summary_metrics!B9</f>
        <v>158</v>
      </c>
      <c r="M8" s="86"/>
      <c r="N8" s="89">
        <f>summary_metrics!B11</f>
        <v>48</v>
      </c>
      <c r="O8" s="90"/>
      <c r="P8" s="54">
        <f>summary_metrics!B12</f>
        <v>38</v>
      </c>
      <c r="Q8" s="55"/>
    </row>
    <row r="9" spans="1:17" ht="14.5" customHeight="1">
      <c r="A9" s="93"/>
      <c r="B9" s="94"/>
      <c r="C9" s="97"/>
      <c r="D9" s="98"/>
      <c r="E9" s="101"/>
      <c r="F9" s="102"/>
      <c r="G9" s="105"/>
      <c r="H9" s="106"/>
      <c r="I9" s="79"/>
      <c r="J9" s="80"/>
      <c r="K9" s="81"/>
      <c r="L9" s="85"/>
      <c r="M9" s="86"/>
      <c r="N9" s="89"/>
      <c r="O9" s="90"/>
      <c r="P9" s="54"/>
      <c r="Q9" s="55"/>
    </row>
    <row r="10" spans="1:17" ht="14.5" customHeight="1">
      <c r="A10" s="95"/>
      <c r="B10" s="96"/>
      <c r="C10" s="99"/>
      <c r="D10" s="100"/>
      <c r="E10" s="103"/>
      <c r="F10" s="104"/>
      <c r="G10" s="107"/>
      <c r="H10" s="108"/>
      <c r="I10" s="82"/>
      <c r="J10" s="83"/>
      <c r="K10" s="84"/>
      <c r="L10" s="87"/>
      <c r="M10" s="88"/>
      <c r="N10" s="91"/>
      <c r="O10" s="92"/>
      <c r="P10" s="56"/>
      <c r="Q10" s="57"/>
    </row>
    <row r="11" spans="1:17">
      <c r="E11" s="23"/>
      <c r="F11" s="23"/>
      <c r="G11" s="23"/>
      <c r="H11" s="24"/>
    </row>
    <row r="44" spans="1:17">
      <c r="A44" s="76"/>
      <c r="B44" s="76"/>
      <c r="C44" s="78">
        <v>1</v>
      </c>
      <c r="D44" s="78"/>
      <c r="E44" s="78"/>
      <c r="F44" s="78">
        <v>2</v>
      </c>
      <c r="G44" s="78"/>
      <c r="H44" s="78"/>
      <c r="I44" s="78">
        <v>3</v>
      </c>
      <c r="J44" s="78"/>
      <c r="K44" s="78"/>
      <c r="L44" s="78">
        <v>4</v>
      </c>
      <c r="M44" s="78"/>
      <c r="N44" s="78"/>
      <c r="O44" s="78">
        <v>5</v>
      </c>
      <c r="P44" s="78"/>
      <c r="Q44" s="78"/>
    </row>
    <row r="45" spans="1:17" ht="15" thickBot="1">
      <c r="A45" s="77"/>
      <c r="B45" s="77"/>
      <c r="C45" s="61"/>
      <c r="D45" s="61"/>
      <c r="E45" s="61"/>
      <c r="F45" s="61"/>
      <c r="G45" s="61"/>
      <c r="H45" s="61"/>
      <c r="I45" s="61"/>
      <c r="J45" s="61"/>
      <c r="K45" s="61"/>
      <c r="L45" s="61"/>
      <c r="M45" s="61"/>
      <c r="N45" s="61"/>
      <c r="O45" s="61"/>
      <c r="P45" s="61"/>
      <c r="Q45" s="61"/>
    </row>
    <row r="46" spans="1:17">
      <c r="A46" s="58" t="s">
        <v>1233</v>
      </c>
      <c r="B46" s="59"/>
      <c r="C46" s="64" t="s">
        <v>1234</v>
      </c>
      <c r="D46" s="65"/>
      <c r="E46" s="66"/>
      <c r="F46" s="64" t="s">
        <v>1235</v>
      </c>
      <c r="G46" s="65"/>
      <c r="H46" s="66"/>
      <c r="I46" s="64" t="s">
        <v>1236</v>
      </c>
      <c r="J46" s="65"/>
      <c r="K46" s="66"/>
      <c r="L46" s="64" t="s">
        <v>1237</v>
      </c>
      <c r="M46" s="65"/>
      <c r="N46" s="66"/>
      <c r="O46" s="64" t="s">
        <v>1240</v>
      </c>
      <c r="P46" s="65"/>
      <c r="Q46" s="73"/>
    </row>
    <row r="47" spans="1:17">
      <c r="A47" s="60"/>
      <c r="B47" s="61"/>
      <c r="C47" s="67"/>
      <c r="D47" s="68"/>
      <c r="E47" s="69"/>
      <c r="F47" s="67"/>
      <c r="G47" s="68"/>
      <c r="H47" s="69"/>
      <c r="I47" s="67"/>
      <c r="J47" s="68"/>
      <c r="K47" s="69"/>
      <c r="L47" s="67"/>
      <c r="M47" s="68"/>
      <c r="N47" s="69"/>
      <c r="O47" s="67"/>
      <c r="P47" s="68"/>
      <c r="Q47" s="74"/>
    </row>
    <row r="48" spans="1:17">
      <c r="A48" s="60"/>
      <c r="B48" s="61"/>
      <c r="C48" s="67"/>
      <c r="D48" s="68"/>
      <c r="E48" s="69"/>
      <c r="F48" s="67"/>
      <c r="G48" s="68"/>
      <c r="H48" s="69"/>
      <c r="I48" s="67"/>
      <c r="J48" s="68"/>
      <c r="K48" s="69"/>
      <c r="L48" s="67"/>
      <c r="M48" s="68"/>
      <c r="N48" s="69"/>
      <c r="O48" s="67"/>
      <c r="P48" s="68"/>
      <c r="Q48" s="74"/>
    </row>
    <row r="49" spans="1:20">
      <c r="A49" s="60"/>
      <c r="B49" s="61"/>
      <c r="C49" s="67"/>
      <c r="D49" s="68"/>
      <c r="E49" s="69"/>
      <c r="F49" s="67"/>
      <c r="G49" s="68"/>
      <c r="H49" s="69"/>
      <c r="I49" s="67"/>
      <c r="J49" s="68"/>
      <c r="K49" s="69"/>
      <c r="L49" s="67"/>
      <c r="M49" s="68"/>
      <c r="N49" s="69"/>
      <c r="O49" s="67"/>
      <c r="P49" s="68"/>
      <c r="Q49" s="74"/>
    </row>
    <row r="50" spans="1:20">
      <c r="A50" s="60"/>
      <c r="B50" s="61"/>
      <c r="C50" s="67"/>
      <c r="D50" s="68"/>
      <c r="E50" s="69"/>
      <c r="F50" s="67"/>
      <c r="G50" s="68"/>
      <c r="H50" s="69"/>
      <c r="I50" s="67"/>
      <c r="J50" s="68"/>
      <c r="K50" s="69"/>
      <c r="L50" s="67"/>
      <c r="M50" s="68"/>
      <c r="N50" s="69"/>
      <c r="O50" s="67"/>
      <c r="P50" s="68"/>
      <c r="Q50" s="74"/>
    </row>
    <row r="51" spans="1:20">
      <c r="A51" s="60"/>
      <c r="B51" s="61"/>
      <c r="C51" s="67"/>
      <c r="D51" s="68"/>
      <c r="E51" s="69"/>
      <c r="F51" s="67"/>
      <c r="G51" s="68"/>
      <c r="H51" s="69"/>
      <c r="I51" s="67"/>
      <c r="J51" s="68"/>
      <c r="K51" s="69"/>
      <c r="L51" s="67"/>
      <c r="M51" s="68"/>
      <c r="N51" s="69"/>
      <c r="O51" s="67"/>
      <c r="P51" s="68"/>
      <c r="Q51" s="74"/>
    </row>
    <row r="52" spans="1:20">
      <c r="A52" s="60"/>
      <c r="B52" s="61"/>
      <c r="C52" s="67"/>
      <c r="D52" s="68"/>
      <c r="E52" s="69"/>
      <c r="F52" s="67"/>
      <c r="G52" s="68"/>
      <c r="H52" s="69"/>
      <c r="I52" s="67"/>
      <c r="J52" s="68"/>
      <c r="K52" s="69"/>
      <c r="L52" s="67"/>
      <c r="M52" s="68"/>
      <c r="N52" s="69"/>
      <c r="O52" s="67"/>
      <c r="P52" s="68"/>
      <c r="Q52" s="74"/>
    </row>
    <row r="53" spans="1:20">
      <c r="A53" s="60"/>
      <c r="B53" s="61"/>
      <c r="C53" s="67"/>
      <c r="D53" s="68"/>
      <c r="E53" s="69"/>
      <c r="F53" s="67"/>
      <c r="G53" s="68"/>
      <c r="H53" s="69"/>
      <c r="I53" s="67"/>
      <c r="J53" s="68"/>
      <c r="K53" s="69"/>
      <c r="L53" s="67"/>
      <c r="M53" s="68"/>
      <c r="N53" s="69"/>
      <c r="O53" s="67"/>
      <c r="P53" s="68"/>
      <c r="Q53" s="74"/>
      <c r="T53" s="37"/>
    </row>
    <row r="54" spans="1:20">
      <c r="A54" s="60"/>
      <c r="B54" s="61"/>
      <c r="C54" s="67"/>
      <c r="D54" s="68"/>
      <c r="E54" s="69"/>
      <c r="F54" s="67"/>
      <c r="G54" s="68"/>
      <c r="H54" s="69"/>
      <c r="I54" s="67"/>
      <c r="J54" s="68"/>
      <c r="K54" s="69"/>
      <c r="L54" s="67"/>
      <c r="M54" s="68"/>
      <c r="N54" s="69"/>
      <c r="O54" s="67"/>
      <c r="P54" s="68"/>
      <c r="Q54" s="74"/>
    </row>
    <row r="55" spans="1:20">
      <c r="A55" s="60"/>
      <c r="B55" s="61"/>
      <c r="C55" s="67"/>
      <c r="D55" s="68"/>
      <c r="E55" s="69"/>
      <c r="F55" s="67"/>
      <c r="G55" s="68"/>
      <c r="H55" s="69"/>
      <c r="I55" s="67"/>
      <c r="J55" s="68"/>
      <c r="K55" s="69"/>
      <c r="L55" s="67"/>
      <c r="M55" s="68"/>
      <c r="N55" s="69"/>
      <c r="O55" s="67"/>
      <c r="P55" s="68"/>
      <c r="Q55" s="74"/>
    </row>
    <row r="56" spans="1:20" ht="15" thickBot="1">
      <c r="A56" s="62"/>
      <c r="B56" s="63"/>
      <c r="C56" s="70"/>
      <c r="D56" s="71"/>
      <c r="E56" s="72"/>
      <c r="F56" s="70"/>
      <c r="G56" s="71"/>
      <c r="H56" s="72"/>
      <c r="I56" s="70"/>
      <c r="J56" s="71"/>
      <c r="K56" s="72"/>
      <c r="L56" s="70"/>
      <c r="M56" s="71"/>
      <c r="N56" s="72"/>
      <c r="O56" s="70"/>
      <c r="P56" s="71"/>
      <c r="Q56" s="75"/>
    </row>
  </sheetData>
  <mergeCells count="31">
    <mergeCell ref="E8:F10"/>
    <mergeCell ref="G6:H7"/>
    <mergeCell ref="G8:H10"/>
    <mergeCell ref="O46:Q56"/>
    <mergeCell ref="A44:B45"/>
    <mergeCell ref="C44:E45"/>
    <mergeCell ref="F44:H45"/>
    <mergeCell ref="I44:K45"/>
    <mergeCell ref="L44:N45"/>
    <mergeCell ref="O44:Q45"/>
    <mergeCell ref="A46:B56"/>
    <mergeCell ref="C46:E56"/>
    <mergeCell ref="F46:H56"/>
    <mergeCell ref="I46:K56"/>
    <mergeCell ref="L46:N56"/>
    <mergeCell ref="A1:Q3"/>
    <mergeCell ref="A4:Q4"/>
    <mergeCell ref="P6:Q7"/>
    <mergeCell ref="P8:Q10"/>
    <mergeCell ref="I6:J7"/>
    <mergeCell ref="K6:K7"/>
    <mergeCell ref="I8:K10"/>
    <mergeCell ref="L6:M7"/>
    <mergeCell ref="L8:M10"/>
    <mergeCell ref="N6:O7"/>
    <mergeCell ref="N8:O10"/>
    <mergeCell ref="A6:B7"/>
    <mergeCell ref="A8:B10"/>
    <mergeCell ref="C6:D7"/>
    <mergeCell ref="C8:D10"/>
    <mergeCell ref="E6:F7"/>
  </mergeCells>
  <pageMargins left="0.7" right="0.7" top="0.75" bottom="0.75" header="0.3" footer="0.3"/>
  <pageSetup scale="6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B21" sqref="B21"/>
    </sheetView>
  </sheetViews>
  <sheetFormatPr defaultRowHeight="14.5"/>
  <cols>
    <col min="1" max="1" width="28" bestFit="1" customWidth="1"/>
    <col min="2" max="2" width="60.54296875" bestFit="1" customWidth="1"/>
    <col min="3" max="3" width="43.6328125" bestFit="1" customWidth="1"/>
  </cols>
  <sheetData>
    <row r="1" spans="1:3">
      <c r="A1" s="2" t="s">
        <v>152</v>
      </c>
      <c r="B1" s="2" t="s">
        <v>153</v>
      </c>
      <c r="C1" s="2" t="s">
        <v>154</v>
      </c>
    </row>
    <row r="2" spans="1:3">
      <c r="A2" t="s">
        <v>155</v>
      </c>
      <c r="B2" t="s">
        <v>156</v>
      </c>
      <c r="C2" t="s">
        <v>157</v>
      </c>
    </row>
    <row r="3" spans="1:3">
      <c r="A3" t="s">
        <v>158</v>
      </c>
      <c r="B3" t="s">
        <v>159</v>
      </c>
      <c r="C3" t="s">
        <v>160</v>
      </c>
    </row>
    <row r="4" spans="1:3">
      <c r="A4" t="s">
        <v>161</v>
      </c>
      <c r="B4" t="s">
        <v>162</v>
      </c>
      <c r="C4" t="s">
        <v>163</v>
      </c>
    </row>
    <row r="5" spans="1:3">
      <c r="A5" t="s">
        <v>164</v>
      </c>
      <c r="B5" t="s">
        <v>165</v>
      </c>
      <c r="C5" t="s">
        <v>166</v>
      </c>
    </row>
    <row r="6" spans="1:3">
      <c r="A6" t="s">
        <v>167</v>
      </c>
      <c r="B6" t="s">
        <v>168</v>
      </c>
      <c r="C6" t="s">
        <v>169</v>
      </c>
    </row>
    <row r="7" spans="1:3">
      <c r="A7" t="s">
        <v>170</v>
      </c>
      <c r="B7" t="s">
        <v>171</v>
      </c>
      <c r="C7" t="s">
        <v>172</v>
      </c>
    </row>
    <row r="8" spans="1:3">
      <c r="A8" t="s">
        <v>173</v>
      </c>
      <c r="B8" t="s">
        <v>174</v>
      </c>
      <c r="C8" t="s">
        <v>175</v>
      </c>
    </row>
    <row r="9" spans="1:3">
      <c r="A9" t="s">
        <v>176</v>
      </c>
      <c r="B9" t="s">
        <v>177</v>
      </c>
      <c r="C9" t="s">
        <v>178</v>
      </c>
    </row>
    <row r="10" spans="1:3">
      <c r="A10" t="s">
        <v>179</v>
      </c>
      <c r="B10" t="s">
        <v>180</v>
      </c>
      <c r="C10" t="s">
        <v>181</v>
      </c>
    </row>
    <row r="11" spans="1:3">
      <c r="A11" t="s">
        <v>182</v>
      </c>
      <c r="B11" t="s">
        <v>183</v>
      </c>
      <c r="C11" t="s">
        <v>184</v>
      </c>
    </row>
    <row r="12" spans="1:3">
      <c r="A12" t="s">
        <v>185</v>
      </c>
      <c r="B12" t="s">
        <v>186</v>
      </c>
      <c r="C12" t="s">
        <v>187</v>
      </c>
    </row>
    <row r="16" spans="1:3">
      <c r="A16" t="s">
        <v>188</v>
      </c>
      <c r="B16" s="1">
        <v>46176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8"/>
  <sheetViews>
    <sheetView showGridLines="0" topLeftCell="A41" zoomScale="90" zoomScaleNormal="90" workbookViewId="0">
      <selection activeCell="A44" sqref="A44:Q68"/>
    </sheetView>
  </sheetViews>
  <sheetFormatPr defaultRowHeight="14.5"/>
  <sheetData>
    <row r="1" spans="1:11" ht="18.5">
      <c r="A1" s="162" t="s">
        <v>263</v>
      </c>
      <c r="B1" s="163"/>
      <c r="C1" s="163"/>
      <c r="D1" s="163"/>
      <c r="E1" s="163"/>
      <c r="F1" s="163"/>
      <c r="G1" s="163"/>
      <c r="H1" s="163"/>
      <c r="I1" s="163"/>
      <c r="J1" s="163"/>
      <c r="K1" s="163"/>
    </row>
    <row r="2" spans="1:11" ht="15" thickBot="1"/>
    <row r="3" spans="1:11" ht="15" thickBot="1">
      <c r="A3" s="131" t="s">
        <v>264</v>
      </c>
      <c r="B3" s="132"/>
      <c r="C3" s="132"/>
      <c r="D3" s="132"/>
      <c r="E3" s="132"/>
      <c r="F3" s="132"/>
      <c r="G3" s="132"/>
      <c r="H3" s="132"/>
      <c r="I3" s="132"/>
      <c r="J3" s="132"/>
      <c r="K3" s="133"/>
    </row>
    <row r="4" spans="1:11">
      <c r="A4" s="164" t="s">
        <v>265</v>
      </c>
      <c r="B4" s="165"/>
      <c r="C4" s="165"/>
      <c r="D4" s="165"/>
      <c r="E4" s="165"/>
      <c r="F4" s="165"/>
      <c r="G4" s="165"/>
      <c r="H4" s="165"/>
      <c r="I4" s="165"/>
      <c r="J4" s="165"/>
      <c r="K4" s="166"/>
    </row>
    <row r="5" spans="1:11">
      <c r="A5" s="167"/>
      <c r="B5" s="168"/>
      <c r="C5" s="168"/>
      <c r="D5" s="168"/>
      <c r="E5" s="168"/>
      <c r="F5" s="168"/>
      <c r="G5" s="168"/>
      <c r="H5" s="168"/>
      <c r="I5" s="168"/>
      <c r="J5" s="168"/>
      <c r="K5" s="169"/>
    </row>
    <row r="6" spans="1:11" ht="15" thickBot="1">
      <c r="A6" s="170"/>
      <c r="B6" s="171"/>
      <c r="C6" s="171"/>
      <c r="D6" s="171"/>
      <c r="E6" s="171"/>
      <c r="F6" s="171"/>
      <c r="G6" s="171"/>
      <c r="H6" s="171"/>
      <c r="I6" s="171"/>
      <c r="J6" s="171"/>
      <c r="K6" s="172"/>
    </row>
    <row r="7" spans="1:11" ht="15" thickBot="1"/>
    <row r="8" spans="1:11" ht="15" thickBot="1">
      <c r="A8" s="131" t="s">
        <v>266</v>
      </c>
      <c r="B8" s="132"/>
      <c r="C8" s="132"/>
      <c r="D8" s="132"/>
      <c r="E8" s="132"/>
      <c r="F8" s="132"/>
      <c r="G8" s="132"/>
      <c r="H8" s="132"/>
      <c r="I8" s="132"/>
      <c r="J8" s="132"/>
      <c r="K8" s="133"/>
    </row>
    <row r="9" spans="1:11" ht="19" customHeight="1">
      <c r="A9" s="159" t="s">
        <v>267</v>
      </c>
      <c r="B9" s="160"/>
      <c r="C9" s="160"/>
      <c r="D9" s="160"/>
      <c r="E9" s="160"/>
      <c r="F9" s="160"/>
      <c r="G9" s="160"/>
      <c r="H9" s="160"/>
      <c r="I9" s="160"/>
      <c r="J9" s="160"/>
      <c r="K9" s="161"/>
    </row>
    <row r="10" spans="1:11">
      <c r="A10" s="109" t="s">
        <v>268</v>
      </c>
      <c r="B10" s="110"/>
      <c r="C10" s="110"/>
      <c r="D10" s="110"/>
      <c r="E10" s="110"/>
      <c r="F10" s="110"/>
      <c r="G10" s="110"/>
      <c r="H10" s="110"/>
      <c r="I10" s="110"/>
      <c r="J10" s="110"/>
      <c r="K10" s="111"/>
    </row>
    <row r="11" spans="1:11">
      <c r="A11" s="109" t="s">
        <v>269</v>
      </c>
      <c r="B11" s="110"/>
      <c r="C11" s="110"/>
      <c r="D11" s="110"/>
      <c r="E11" s="110"/>
      <c r="F11" s="110"/>
      <c r="G11" s="110"/>
      <c r="H11" s="110"/>
      <c r="I11" s="110"/>
      <c r="J11" s="110"/>
      <c r="K11" s="111"/>
    </row>
    <row r="12" spans="1:11">
      <c r="A12" s="109" t="s">
        <v>270</v>
      </c>
      <c r="B12" s="110"/>
      <c r="C12" s="110"/>
      <c r="D12" s="110"/>
      <c r="E12" s="110"/>
      <c r="F12" s="110"/>
      <c r="G12" s="110"/>
      <c r="H12" s="110"/>
      <c r="I12" s="110"/>
      <c r="J12" s="110"/>
      <c r="K12" s="111"/>
    </row>
    <row r="13" spans="1:11" ht="14.5" customHeight="1">
      <c r="A13" s="109" t="s">
        <v>271</v>
      </c>
      <c r="B13" s="110"/>
      <c r="C13" s="110"/>
      <c r="D13" s="110"/>
      <c r="E13" s="110"/>
      <c r="F13" s="110"/>
      <c r="G13" s="110"/>
      <c r="H13" s="110"/>
      <c r="I13" s="110"/>
      <c r="J13" s="110"/>
      <c r="K13" s="111"/>
    </row>
    <row r="14" spans="1:11" ht="14.5" customHeight="1">
      <c r="A14" s="109" t="s">
        <v>272</v>
      </c>
      <c r="B14" s="110"/>
      <c r="C14" s="110"/>
      <c r="D14" s="110"/>
      <c r="E14" s="110"/>
      <c r="F14" s="110"/>
      <c r="G14" s="110"/>
      <c r="H14" s="110"/>
      <c r="I14" s="110"/>
      <c r="J14" s="110"/>
      <c r="K14" s="111"/>
    </row>
    <row r="15" spans="1:11">
      <c r="A15" s="109" t="s">
        <v>273</v>
      </c>
      <c r="B15" s="110"/>
      <c r="C15" s="110"/>
      <c r="D15" s="110"/>
      <c r="E15" s="110"/>
      <c r="F15" s="110"/>
      <c r="G15" s="110"/>
      <c r="H15" s="110"/>
      <c r="I15" s="110"/>
      <c r="J15" s="110"/>
      <c r="K15" s="111"/>
    </row>
    <row r="16" spans="1:11">
      <c r="A16" s="109" t="s">
        <v>274</v>
      </c>
      <c r="B16" s="110"/>
      <c r="C16" s="110"/>
      <c r="D16" s="110"/>
      <c r="E16" s="110"/>
      <c r="F16" s="110"/>
      <c r="G16" s="110"/>
      <c r="H16" s="110"/>
      <c r="I16" s="110"/>
      <c r="J16" s="110"/>
      <c r="K16" s="111"/>
    </row>
    <row r="17" spans="1:19" ht="15" thickBot="1">
      <c r="A17" s="112" t="s">
        <v>275</v>
      </c>
      <c r="B17" s="113"/>
      <c r="C17" s="113"/>
      <c r="D17" s="113"/>
      <c r="E17" s="113"/>
      <c r="F17" s="113"/>
      <c r="G17" s="113"/>
      <c r="H17" s="113"/>
      <c r="I17" s="113"/>
      <c r="J17" s="113"/>
      <c r="K17" s="114"/>
    </row>
    <row r="18" spans="1:19" ht="15" thickBot="1">
      <c r="A18" s="26"/>
      <c r="B18" s="26"/>
      <c r="C18" s="26"/>
      <c r="D18" s="26"/>
      <c r="E18" s="26"/>
      <c r="F18" s="26"/>
      <c r="G18" s="26"/>
      <c r="H18" s="26"/>
    </row>
    <row r="19" spans="1:19" ht="15" thickBot="1">
      <c r="A19" s="131" t="s">
        <v>221</v>
      </c>
      <c r="B19" s="133"/>
      <c r="C19" s="27" t="s">
        <v>222</v>
      </c>
      <c r="D19" s="131" t="s">
        <v>276</v>
      </c>
      <c r="E19" s="132"/>
      <c r="F19" s="133"/>
    </row>
    <row r="20" spans="1:19">
      <c r="A20" s="115" t="s">
        <v>198</v>
      </c>
      <c r="B20" s="158"/>
      <c r="C20" s="28">
        <v>250</v>
      </c>
      <c r="D20" s="115" t="s">
        <v>277</v>
      </c>
      <c r="E20" s="116"/>
      <c r="F20" s="158"/>
    </row>
    <row r="21" spans="1:19">
      <c r="A21" s="115" t="s">
        <v>49</v>
      </c>
      <c r="B21" s="158"/>
      <c r="C21" s="28">
        <v>57</v>
      </c>
      <c r="D21" s="115" t="s">
        <v>278</v>
      </c>
      <c r="E21" s="116"/>
      <c r="F21" s="158"/>
    </row>
    <row r="22" spans="1:19">
      <c r="A22" s="115" t="s">
        <v>56</v>
      </c>
      <c r="B22" s="158"/>
      <c r="C22" s="28">
        <v>91</v>
      </c>
      <c r="D22" s="115" t="s">
        <v>279</v>
      </c>
      <c r="E22" s="116"/>
      <c r="F22" s="158"/>
    </row>
    <row r="23" spans="1:19">
      <c r="A23" s="115" t="s">
        <v>141</v>
      </c>
      <c r="B23" s="158"/>
      <c r="C23" s="28">
        <v>102</v>
      </c>
      <c r="D23" s="115" t="s">
        <v>280</v>
      </c>
      <c r="E23" s="116"/>
      <c r="F23" s="158"/>
    </row>
    <row r="24" spans="1:19">
      <c r="A24" s="115" t="s">
        <v>262</v>
      </c>
      <c r="B24" s="158"/>
      <c r="C24" s="28">
        <v>193</v>
      </c>
      <c r="D24" s="115" t="s">
        <v>281</v>
      </c>
      <c r="E24" s="116"/>
      <c r="F24" s="158"/>
    </row>
    <row r="25" spans="1:19">
      <c r="A25" s="115" t="s">
        <v>245</v>
      </c>
      <c r="B25" s="158"/>
      <c r="C25" s="28">
        <v>158</v>
      </c>
      <c r="D25" s="115" t="s">
        <v>282</v>
      </c>
      <c r="E25" s="116"/>
      <c r="F25" s="158"/>
    </row>
    <row r="26" spans="1:19">
      <c r="A26" s="115" t="s">
        <v>260</v>
      </c>
      <c r="B26" s="158"/>
      <c r="C26" s="28">
        <v>48</v>
      </c>
      <c r="D26" s="115" t="s">
        <v>283</v>
      </c>
      <c r="E26" s="116"/>
      <c r="F26" s="158"/>
    </row>
    <row r="27" spans="1:19" ht="15" thickBot="1">
      <c r="A27" s="152" t="s">
        <v>258</v>
      </c>
      <c r="B27" s="154"/>
      <c r="C27" s="29">
        <v>38</v>
      </c>
      <c r="D27" s="152" t="s">
        <v>284</v>
      </c>
      <c r="E27" s="153"/>
      <c r="F27" s="154"/>
    </row>
    <row r="28" spans="1:19" ht="15" thickBot="1"/>
    <row r="29" spans="1:19" ht="15" thickBot="1">
      <c r="A29" s="27" t="s">
        <v>285</v>
      </c>
      <c r="B29" s="131" t="s">
        <v>286</v>
      </c>
      <c r="C29" s="132"/>
      <c r="D29" s="132"/>
      <c r="E29" s="132"/>
      <c r="F29" s="133"/>
      <c r="G29" s="131" t="s">
        <v>287</v>
      </c>
      <c r="H29" s="132"/>
      <c r="I29" s="132"/>
      <c r="J29" s="132"/>
      <c r="K29" s="132"/>
      <c r="L29" s="133"/>
      <c r="M29" s="131" t="s">
        <v>288</v>
      </c>
      <c r="N29" s="132"/>
      <c r="O29" s="132"/>
      <c r="P29" s="132"/>
      <c r="Q29" s="132"/>
      <c r="R29" s="132"/>
      <c r="S29" s="133"/>
    </row>
    <row r="30" spans="1:19" s="37" customFormat="1" ht="30" customHeight="1" thickBot="1">
      <c r="A30" s="38">
        <v>1</v>
      </c>
      <c r="B30" s="140" t="s">
        <v>289</v>
      </c>
      <c r="C30" s="141"/>
      <c r="D30" s="141"/>
      <c r="E30" s="141"/>
      <c r="F30" s="142"/>
      <c r="G30" s="140" t="s">
        <v>1220</v>
      </c>
      <c r="H30" s="141"/>
      <c r="I30" s="141"/>
      <c r="J30" s="141"/>
      <c r="K30" s="141"/>
      <c r="L30" s="142"/>
      <c r="M30" s="155" t="s">
        <v>290</v>
      </c>
      <c r="N30" s="156"/>
      <c r="O30" s="156"/>
      <c r="P30" s="156"/>
      <c r="Q30" s="156"/>
      <c r="R30" s="156"/>
      <c r="S30" s="157"/>
    </row>
    <row r="31" spans="1:19" ht="31" customHeight="1" thickBot="1">
      <c r="A31" s="39">
        <v>2</v>
      </c>
      <c r="B31" s="143" t="s">
        <v>291</v>
      </c>
      <c r="C31" s="144"/>
      <c r="D31" s="144"/>
      <c r="E31" s="144"/>
      <c r="F31" s="145"/>
      <c r="G31" s="143" t="s">
        <v>1221</v>
      </c>
      <c r="H31" s="144"/>
      <c r="I31" s="144"/>
      <c r="J31" s="144"/>
      <c r="K31" s="144"/>
      <c r="L31" s="145"/>
      <c r="M31" s="140" t="s">
        <v>292</v>
      </c>
      <c r="N31" s="141"/>
      <c r="O31" s="141"/>
      <c r="P31" s="141"/>
      <c r="Q31" s="141"/>
      <c r="R31" s="141"/>
      <c r="S31" s="142"/>
    </row>
    <row r="32" spans="1:19" ht="41" customHeight="1" thickBot="1">
      <c r="A32" s="39">
        <v>3</v>
      </c>
      <c r="B32" s="140" t="s">
        <v>1222</v>
      </c>
      <c r="C32" s="144"/>
      <c r="D32" s="144"/>
      <c r="E32" s="144"/>
      <c r="F32" s="145"/>
      <c r="G32" s="140" t="s">
        <v>1223</v>
      </c>
      <c r="H32" s="144"/>
      <c r="I32" s="144"/>
      <c r="J32" s="144"/>
      <c r="K32" s="144"/>
      <c r="L32" s="145"/>
      <c r="M32" s="140" t="s">
        <v>293</v>
      </c>
      <c r="N32" s="141"/>
      <c r="O32" s="141"/>
      <c r="P32" s="141"/>
      <c r="Q32" s="141"/>
      <c r="R32" s="141"/>
      <c r="S32" s="142"/>
    </row>
    <row r="33" spans="1:19" ht="43.5" customHeight="1" thickBot="1">
      <c r="A33" s="39">
        <v>4</v>
      </c>
      <c r="B33" s="140" t="s">
        <v>1224</v>
      </c>
      <c r="C33" s="144"/>
      <c r="D33" s="144"/>
      <c r="E33" s="144"/>
      <c r="F33" s="145"/>
      <c r="G33" s="140" t="s">
        <v>1225</v>
      </c>
      <c r="H33" s="144"/>
      <c r="I33" s="144"/>
      <c r="J33" s="144"/>
      <c r="K33" s="144"/>
      <c r="L33" s="145"/>
      <c r="M33" s="140" t="s">
        <v>294</v>
      </c>
      <c r="N33" s="141"/>
      <c r="O33" s="141"/>
      <c r="P33" s="141"/>
      <c r="Q33" s="141"/>
      <c r="R33" s="141"/>
      <c r="S33" s="142"/>
    </row>
    <row r="34" spans="1:19" ht="15" thickBot="1">
      <c r="A34" s="30">
        <v>5</v>
      </c>
      <c r="B34" s="152" t="s">
        <v>295</v>
      </c>
      <c r="C34" s="153"/>
      <c r="D34" s="153"/>
      <c r="E34" s="153"/>
      <c r="F34" s="154"/>
      <c r="G34" s="152" t="s">
        <v>1226</v>
      </c>
      <c r="H34" s="153"/>
      <c r="I34" s="153"/>
      <c r="J34" s="153"/>
      <c r="K34" s="153"/>
      <c r="L34" s="154"/>
      <c r="M34" s="152" t="s">
        <v>296</v>
      </c>
      <c r="N34" s="153"/>
      <c r="O34" s="153"/>
      <c r="P34" s="153"/>
      <c r="Q34" s="153"/>
      <c r="R34" s="153"/>
      <c r="S34" s="154"/>
    </row>
    <row r="35" spans="1:19" ht="15" thickBot="1"/>
    <row r="36" spans="1:19" ht="15" thickBot="1">
      <c r="A36" s="27" t="s">
        <v>285</v>
      </c>
      <c r="B36" s="131" t="s">
        <v>297</v>
      </c>
      <c r="C36" s="132"/>
      <c r="D36" s="132"/>
      <c r="E36" s="132"/>
      <c r="F36" s="132"/>
      <c r="G36" s="133"/>
      <c r="H36" s="131" t="s">
        <v>298</v>
      </c>
      <c r="I36" s="132"/>
      <c r="J36" s="132"/>
      <c r="K36" s="132"/>
      <c r="L36" s="132"/>
      <c r="M36" s="132"/>
      <c r="N36" s="132"/>
      <c r="O36" s="133"/>
    </row>
    <row r="37" spans="1:19" ht="35" customHeight="1" thickBot="1">
      <c r="A37" s="39">
        <v>1</v>
      </c>
      <c r="B37" s="140" t="s">
        <v>299</v>
      </c>
      <c r="C37" s="141"/>
      <c r="D37" s="141"/>
      <c r="E37" s="141"/>
      <c r="F37" s="141"/>
      <c r="G37" s="142"/>
      <c r="H37" s="140" t="s">
        <v>1227</v>
      </c>
      <c r="I37" s="141"/>
      <c r="J37" s="141"/>
      <c r="K37" s="141"/>
      <c r="L37" s="141"/>
      <c r="M37" s="141"/>
      <c r="N37" s="141"/>
      <c r="O37" s="142"/>
    </row>
    <row r="38" spans="1:19" ht="33.5" customHeight="1" thickBot="1">
      <c r="A38" s="39">
        <v>2</v>
      </c>
      <c r="B38" s="140" t="s">
        <v>300</v>
      </c>
      <c r="C38" s="141"/>
      <c r="D38" s="141"/>
      <c r="E38" s="141"/>
      <c r="F38" s="141"/>
      <c r="G38" s="142"/>
      <c r="H38" s="143" t="s">
        <v>301</v>
      </c>
      <c r="I38" s="144"/>
      <c r="J38" s="144"/>
      <c r="K38" s="144"/>
      <c r="L38" s="144"/>
      <c r="M38" s="144"/>
      <c r="N38" s="144"/>
      <c r="O38" s="145"/>
    </row>
    <row r="39" spans="1:19" ht="28.5" customHeight="1" thickBot="1">
      <c r="A39" s="39">
        <v>3</v>
      </c>
      <c r="B39" s="140" t="s">
        <v>302</v>
      </c>
      <c r="C39" s="141"/>
      <c r="D39" s="141"/>
      <c r="E39" s="141"/>
      <c r="F39" s="141"/>
      <c r="G39" s="142"/>
      <c r="H39" s="143" t="s">
        <v>303</v>
      </c>
      <c r="I39" s="144"/>
      <c r="J39" s="144"/>
      <c r="K39" s="144"/>
      <c r="L39" s="144"/>
      <c r="M39" s="144"/>
      <c r="N39" s="144"/>
      <c r="O39" s="145"/>
    </row>
    <row r="40" spans="1:19" ht="15" thickBot="1">
      <c r="A40" s="39">
        <v>4</v>
      </c>
      <c r="B40" s="146" t="s">
        <v>304</v>
      </c>
      <c r="C40" s="147"/>
      <c r="D40" s="147"/>
      <c r="E40" s="147"/>
      <c r="F40" s="147"/>
      <c r="G40" s="148"/>
      <c r="H40" s="146" t="s">
        <v>1228</v>
      </c>
      <c r="I40" s="147"/>
      <c r="J40" s="147"/>
      <c r="K40" s="147"/>
      <c r="L40" s="147"/>
      <c r="M40" s="147"/>
      <c r="N40" s="147"/>
      <c r="O40" s="148"/>
    </row>
    <row r="41" spans="1:19" ht="32.5" customHeight="1" thickBot="1">
      <c r="A41" s="39">
        <v>5</v>
      </c>
      <c r="B41" s="140" t="s">
        <v>1229</v>
      </c>
      <c r="C41" s="141"/>
      <c r="D41" s="141"/>
      <c r="E41" s="141"/>
      <c r="F41" s="141"/>
      <c r="G41" s="142"/>
      <c r="H41" s="143" t="s">
        <v>1230</v>
      </c>
      <c r="I41" s="144"/>
      <c r="J41" s="144"/>
      <c r="K41" s="144"/>
      <c r="L41" s="144"/>
      <c r="M41" s="144"/>
      <c r="N41" s="144"/>
      <c r="O41" s="145"/>
    </row>
    <row r="42" spans="1:19" ht="28" customHeight="1" thickBot="1">
      <c r="A42" s="30">
        <v>6</v>
      </c>
      <c r="B42" s="137" t="s">
        <v>305</v>
      </c>
      <c r="C42" s="138"/>
      <c r="D42" s="138"/>
      <c r="E42" s="138"/>
      <c r="F42" s="138"/>
      <c r="G42" s="139"/>
      <c r="H42" s="149" t="s">
        <v>306</v>
      </c>
      <c r="I42" s="150"/>
      <c r="J42" s="150"/>
      <c r="K42" s="150"/>
      <c r="L42" s="150"/>
      <c r="M42" s="150"/>
      <c r="N42" s="150"/>
      <c r="O42" s="151"/>
    </row>
    <row r="43" spans="1:19" ht="15" thickBot="1"/>
    <row r="44" spans="1:19" ht="15" thickBot="1">
      <c r="A44" s="131" t="s">
        <v>307</v>
      </c>
      <c r="B44" s="132"/>
      <c r="C44" s="132"/>
      <c r="D44" s="132"/>
      <c r="E44" s="132"/>
      <c r="F44" s="132"/>
      <c r="G44" s="132"/>
      <c r="H44" s="132"/>
      <c r="I44" s="40"/>
      <c r="J44" s="41"/>
    </row>
    <row r="45" spans="1:19">
      <c r="A45" s="115" t="s">
        <v>308</v>
      </c>
      <c r="B45" s="116"/>
      <c r="C45" s="116"/>
      <c r="D45" s="116"/>
      <c r="E45" s="116"/>
      <c r="F45" s="116"/>
      <c r="G45" s="116"/>
      <c r="H45" s="116"/>
      <c r="I45" s="116"/>
      <c r="J45" s="31"/>
    </row>
    <row r="46" spans="1:19">
      <c r="A46" s="115" t="s">
        <v>309</v>
      </c>
      <c r="B46" s="116"/>
      <c r="C46" s="116"/>
      <c r="D46" s="116"/>
      <c r="E46" s="116"/>
      <c r="F46" s="116"/>
      <c r="G46" s="116"/>
      <c r="H46" s="116"/>
      <c r="I46" s="116"/>
      <c r="J46" s="31"/>
    </row>
    <row r="47" spans="1:19">
      <c r="A47" s="115" t="s">
        <v>310</v>
      </c>
      <c r="B47" s="116"/>
      <c r="C47" s="116"/>
      <c r="D47" s="116"/>
      <c r="E47" s="116"/>
      <c r="F47" s="116"/>
      <c r="G47" s="116"/>
      <c r="H47" s="116"/>
      <c r="I47" s="116"/>
      <c r="J47" s="31"/>
    </row>
    <row r="48" spans="1:19">
      <c r="A48" s="115" t="s">
        <v>311</v>
      </c>
      <c r="B48" s="116"/>
      <c r="C48" s="116"/>
      <c r="D48" s="116"/>
      <c r="E48" s="116"/>
      <c r="F48" s="116"/>
      <c r="G48" s="116"/>
      <c r="H48" s="116"/>
      <c r="I48" s="116"/>
      <c r="J48" s="31"/>
    </row>
    <row r="49" spans="1:12">
      <c r="A49" s="115" t="s">
        <v>312</v>
      </c>
      <c r="B49" s="116"/>
      <c r="C49" s="116"/>
      <c r="D49" s="116"/>
      <c r="E49" s="116"/>
      <c r="F49" s="116"/>
      <c r="G49" s="116"/>
      <c r="H49" s="116"/>
      <c r="I49" s="116"/>
      <c r="J49" s="31"/>
    </row>
    <row r="50" spans="1:12" ht="37" customHeight="1">
      <c r="A50" s="134" t="s">
        <v>313</v>
      </c>
      <c r="B50" s="135"/>
      <c r="C50" s="135"/>
      <c r="D50" s="135"/>
      <c r="E50" s="135"/>
      <c r="F50" s="135"/>
      <c r="G50" s="135"/>
      <c r="H50" s="135"/>
      <c r="I50" s="135"/>
      <c r="J50" s="136"/>
    </row>
    <row r="51" spans="1:12" ht="37.5" customHeight="1" thickBot="1">
      <c r="A51" s="123" t="s">
        <v>1231</v>
      </c>
      <c r="B51" s="124"/>
      <c r="C51" s="124"/>
      <c r="D51" s="124"/>
      <c r="E51" s="124"/>
      <c r="F51" s="124"/>
      <c r="G51" s="124"/>
      <c r="H51" s="124"/>
      <c r="I51" s="32"/>
      <c r="J51" s="33"/>
    </row>
    <row r="52" spans="1:12" ht="15" thickBot="1"/>
    <row r="53" spans="1:12" ht="15" thickBot="1">
      <c r="A53" s="131" t="s">
        <v>314</v>
      </c>
      <c r="B53" s="132"/>
      <c r="C53" s="132"/>
      <c r="D53" s="132"/>
      <c r="E53" s="132"/>
      <c r="F53" s="132"/>
      <c r="G53" s="132"/>
      <c r="H53" s="132"/>
      <c r="I53" s="132"/>
      <c r="J53" s="132"/>
      <c r="K53" s="132"/>
      <c r="L53" s="133"/>
    </row>
    <row r="54" spans="1:12">
      <c r="A54" s="125" t="s">
        <v>315</v>
      </c>
      <c r="B54" s="126"/>
      <c r="C54" s="126"/>
      <c r="D54" s="126"/>
      <c r="E54" s="126"/>
      <c r="F54" s="126"/>
      <c r="G54" s="126"/>
      <c r="H54" s="126"/>
      <c r="I54" s="126"/>
      <c r="J54" s="126"/>
      <c r="K54" s="126"/>
      <c r="L54" s="127"/>
    </row>
    <row r="55" spans="1:12">
      <c r="A55" s="125"/>
      <c r="B55" s="126"/>
      <c r="C55" s="126"/>
      <c r="D55" s="126"/>
      <c r="E55" s="126"/>
      <c r="F55" s="126"/>
      <c r="G55" s="126"/>
      <c r="H55" s="126"/>
      <c r="I55" s="126"/>
      <c r="J55" s="126"/>
      <c r="K55" s="126"/>
      <c r="L55" s="127"/>
    </row>
    <row r="56" spans="1:12">
      <c r="A56" s="125"/>
      <c r="B56" s="126"/>
      <c r="C56" s="126"/>
      <c r="D56" s="126"/>
      <c r="E56" s="126"/>
      <c r="F56" s="126"/>
      <c r="G56" s="126"/>
      <c r="H56" s="126"/>
      <c r="I56" s="126"/>
      <c r="J56" s="126"/>
      <c r="K56" s="126"/>
      <c r="L56" s="127"/>
    </row>
    <row r="57" spans="1:12">
      <c r="A57" s="125"/>
      <c r="B57" s="126"/>
      <c r="C57" s="126"/>
      <c r="D57" s="126"/>
      <c r="E57" s="126"/>
      <c r="F57" s="126"/>
      <c r="G57" s="126"/>
      <c r="H57" s="126"/>
      <c r="I57" s="126"/>
      <c r="J57" s="126"/>
      <c r="K57" s="126"/>
      <c r="L57" s="127"/>
    </row>
    <row r="58" spans="1:12">
      <c r="A58" s="125"/>
      <c r="B58" s="126"/>
      <c r="C58" s="126"/>
      <c r="D58" s="126"/>
      <c r="E58" s="126"/>
      <c r="F58" s="126"/>
      <c r="G58" s="126"/>
      <c r="H58" s="126"/>
      <c r="I58" s="126"/>
      <c r="J58" s="126"/>
      <c r="K58" s="126"/>
      <c r="L58" s="127"/>
    </row>
    <row r="59" spans="1:12">
      <c r="A59" s="125"/>
      <c r="B59" s="126"/>
      <c r="C59" s="126"/>
      <c r="D59" s="126"/>
      <c r="E59" s="126"/>
      <c r="F59" s="126"/>
      <c r="G59" s="126"/>
      <c r="H59" s="126"/>
      <c r="I59" s="126"/>
      <c r="J59" s="126"/>
      <c r="K59" s="126"/>
      <c r="L59" s="127"/>
    </row>
    <row r="60" spans="1:12">
      <c r="A60" s="125"/>
      <c r="B60" s="126"/>
      <c r="C60" s="126"/>
      <c r="D60" s="126"/>
      <c r="E60" s="126"/>
      <c r="F60" s="126"/>
      <c r="G60" s="126"/>
      <c r="H60" s="126"/>
      <c r="I60" s="126"/>
      <c r="J60" s="126"/>
      <c r="K60" s="126"/>
      <c r="L60" s="127"/>
    </row>
    <row r="61" spans="1:12">
      <c r="A61" s="125"/>
      <c r="B61" s="126"/>
      <c r="C61" s="126"/>
      <c r="D61" s="126"/>
      <c r="E61" s="126"/>
      <c r="F61" s="126"/>
      <c r="G61" s="126"/>
      <c r="H61" s="126"/>
      <c r="I61" s="126"/>
      <c r="J61" s="126"/>
      <c r="K61" s="126"/>
      <c r="L61" s="127"/>
    </row>
    <row r="62" spans="1:12">
      <c r="A62" s="125"/>
      <c r="B62" s="126"/>
      <c r="C62" s="126"/>
      <c r="D62" s="126"/>
      <c r="E62" s="126"/>
      <c r="F62" s="126"/>
      <c r="G62" s="126"/>
      <c r="H62" s="126"/>
      <c r="I62" s="126"/>
      <c r="J62" s="126"/>
      <c r="K62" s="126"/>
      <c r="L62" s="127"/>
    </row>
    <row r="63" spans="1:12">
      <c r="A63" s="125"/>
      <c r="B63" s="126"/>
      <c r="C63" s="126"/>
      <c r="D63" s="126"/>
      <c r="E63" s="126"/>
      <c r="F63" s="126"/>
      <c r="G63" s="126"/>
      <c r="H63" s="126"/>
      <c r="I63" s="126"/>
      <c r="J63" s="126"/>
      <c r="K63" s="126"/>
      <c r="L63" s="127"/>
    </row>
    <row r="64" spans="1:12" ht="15" thickBot="1">
      <c r="A64" s="128"/>
      <c r="B64" s="129"/>
      <c r="C64" s="129"/>
      <c r="D64" s="129"/>
      <c r="E64" s="129"/>
      <c r="F64" s="129"/>
      <c r="G64" s="129"/>
      <c r="H64" s="129"/>
      <c r="I64" s="129"/>
      <c r="J64" s="129"/>
      <c r="K64" s="129"/>
      <c r="L64" s="130"/>
    </row>
    <row r="65" spans="1:17" ht="15" thickBot="1"/>
    <row r="66" spans="1:17" ht="15" thickBot="1">
      <c r="A66" s="131" t="s">
        <v>316</v>
      </c>
      <c r="B66" s="132"/>
      <c r="C66" s="132"/>
      <c r="D66" s="132"/>
      <c r="E66" s="132"/>
      <c r="F66" s="132"/>
      <c r="G66" s="132"/>
      <c r="H66" s="132"/>
      <c r="I66" s="132"/>
      <c r="J66" s="132"/>
      <c r="K66" s="132"/>
      <c r="L66" s="132"/>
      <c r="M66" s="132"/>
      <c r="N66" s="132"/>
      <c r="O66" s="132"/>
      <c r="P66" s="132"/>
      <c r="Q66" s="133"/>
    </row>
    <row r="67" spans="1:17" ht="31.5" customHeight="1">
      <c r="A67" s="117" t="s">
        <v>1232</v>
      </c>
      <c r="B67" s="118"/>
      <c r="C67" s="118"/>
      <c r="D67" s="118"/>
      <c r="E67" s="118"/>
      <c r="F67" s="118"/>
      <c r="G67" s="118"/>
      <c r="H67" s="118"/>
      <c r="I67" s="118"/>
      <c r="J67" s="118"/>
      <c r="K67" s="118"/>
      <c r="L67" s="118"/>
      <c r="M67" s="118"/>
      <c r="N67" s="118"/>
      <c r="O67" s="118"/>
      <c r="P67" s="118"/>
      <c r="Q67" s="119"/>
    </row>
    <row r="68" spans="1:17" ht="15" thickBot="1">
      <c r="A68" s="120" t="s">
        <v>317</v>
      </c>
      <c r="B68" s="121"/>
      <c r="C68" s="121"/>
      <c r="D68" s="121"/>
      <c r="E68" s="121"/>
      <c r="F68" s="121"/>
      <c r="G68" s="121"/>
      <c r="H68" s="121"/>
      <c r="I68" s="121"/>
      <c r="J68" s="121"/>
      <c r="K68" s="121"/>
      <c r="L68" s="121"/>
      <c r="M68" s="121"/>
      <c r="N68" s="121"/>
      <c r="O68" s="121"/>
      <c r="P68" s="121"/>
      <c r="Q68" s="122"/>
    </row>
  </sheetData>
  <mergeCells count="76">
    <mergeCell ref="A1:K1"/>
    <mergeCell ref="A3:K3"/>
    <mergeCell ref="A4:K6"/>
    <mergeCell ref="A8:K8"/>
    <mergeCell ref="A19:B19"/>
    <mergeCell ref="A20:B20"/>
    <mergeCell ref="A9:K9"/>
    <mergeCell ref="A10:K10"/>
    <mergeCell ref="A11:K11"/>
    <mergeCell ref="A12:K12"/>
    <mergeCell ref="A13:K13"/>
    <mergeCell ref="A14:K14"/>
    <mergeCell ref="A15:K15"/>
    <mergeCell ref="D24:F24"/>
    <mergeCell ref="D25:F25"/>
    <mergeCell ref="D26:F26"/>
    <mergeCell ref="D27:F27"/>
    <mergeCell ref="A21:B21"/>
    <mergeCell ref="A22:B22"/>
    <mergeCell ref="A23:B23"/>
    <mergeCell ref="A24:B24"/>
    <mergeCell ref="A25:B25"/>
    <mergeCell ref="A26:B26"/>
    <mergeCell ref="D19:F19"/>
    <mergeCell ref="D20:F20"/>
    <mergeCell ref="D21:F21"/>
    <mergeCell ref="D22:F22"/>
    <mergeCell ref="D23:F23"/>
    <mergeCell ref="B31:F31"/>
    <mergeCell ref="B32:F32"/>
    <mergeCell ref="B33:F33"/>
    <mergeCell ref="B34:F34"/>
    <mergeCell ref="A27:B27"/>
    <mergeCell ref="B41:G41"/>
    <mergeCell ref="A44:H44"/>
    <mergeCell ref="M34:S34"/>
    <mergeCell ref="G29:L29"/>
    <mergeCell ref="G30:L30"/>
    <mergeCell ref="G31:L31"/>
    <mergeCell ref="G32:L32"/>
    <mergeCell ref="G33:L33"/>
    <mergeCell ref="G34:L34"/>
    <mergeCell ref="M29:S29"/>
    <mergeCell ref="M30:S30"/>
    <mergeCell ref="M31:S31"/>
    <mergeCell ref="M32:S32"/>
    <mergeCell ref="M33:S33"/>
    <mergeCell ref="B29:F29"/>
    <mergeCell ref="B30:F30"/>
    <mergeCell ref="A50:J50"/>
    <mergeCell ref="A66:Q66"/>
    <mergeCell ref="A48:I48"/>
    <mergeCell ref="A49:I49"/>
    <mergeCell ref="B42:G42"/>
    <mergeCell ref="H42:O42"/>
    <mergeCell ref="A67:Q67"/>
    <mergeCell ref="A68:Q68"/>
    <mergeCell ref="A51:H51"/>
    <mergeCell ref="A54:L64"/>
    <mergeCell ref="A53:L53"/>
    <mergeCell ref="A16:K16"/>
    <mergeCell ref="A17:K17"/>
    <mergeCell ref="A45:I45"/>
    <mergeCell ref="A46:I46"/>
    <mergeCell ref="A47:I47"/>
    <mergeCell ref="H36:O36"/>
    <mergeCell ref="H37:O37"/>
    <mergeCell ref="H38:O38"/>
    <mergeCell ref="H39:O39"/>
    <mergeCell ref="H40:O40"/>
    <mergeCell ref="H41:O41"/>
    <mergeCell ref="B36:G36"/>
    <mergeCell ref="B37:G37"/>
    <mergeCell ref="B38:G38"/>
    <mergeCell ref="B39:G39"/>
    <mergeCell ref="B40:G4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raw_enrollment_data</vt:lpstr>
      <vt:lpstr>working_clean_data</vt:lpstr>
      <vt:lpstr>data_quality_checks</vt:lpstr>
      <vt:lpstr>summary_metrics</vt:lpstr>
      <vt:lpstr>pivot_analysis</vt:lpstr>
      <vt:lpstr>dashboard</vt:lpstr>
      <vt:lpstr>KPI Definitions</vt:lpstr>
      <vt:lpstr>insights_notes</vt:lpstr>
      <vt:lpstr>dashboard!Print_Area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2026-06-06T08:04:01Z</dcterms:modified>
</cp:coreProperties>
</file>