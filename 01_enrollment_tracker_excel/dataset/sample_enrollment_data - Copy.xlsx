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hidePivotFieldList="1" defaultThemeVersion="124226"/>
  <bookViews>
    <workbookView xWindow="240" yWindow="110" windowWidth="14810" windowHeight="8010" activeTab="7"/>
  </bookViews>
  <sheets>
    <sheet name="raw_enrollment_data" sheetId="1" r:id="rId1"/>
    <sheet name="working_clean_data" sheetId="4" r:id="rId2"/>
    <sheet name="data_quality_checks" sheetId="5" r:id="rId3"/>
    <sheet name="summary_metrics" sheetId="6" r:id="rId4"/>
    <sheet name="pivot_analysis" sheetId="7" r:id="rId5"/>
    <sheet name="dashboard" sheetId="8" r:id="rId6"/>
    <sheet name="KPI Definitions" sheetId="2" r:id="rId7"/>
    <sheet name="insights_notes" sheetId="10" r:id="rId8"/>
  </sheets>
  <definedNames>
    <definedName name="_xlnm._FilterDatabase" localSheetId="0" hidden="1">raw_enrollment_data!$A$1:$Y$26</definedName>
    <definedName name="_xlnm._FilterDatabase" localSheetId="1" hidden="1">working_clean_data!$A$1:$Y$26</definedName>
  </definedNames>
  <calcPr calcId="152511"/>
  <pivotCaches>
    <pivotCache cacheId="59" r:id="rId9"/>
  </pivotCaches>
</workbook>
</file>

<file path=xl/calcChain.xml><?xml version="1.0" encoding="utf-8"?>
<calcChain xmlns="http://schemas.openxmlformats.org/spreadsheetml/2006/main">
  <c r="E15" i="6" l="1"/>
  <c r="E14" i="6"/>
  <c r="L15" i="8"/>
  <c r="I15" i="8"/>
  <c r="E15" i="8"/>
  <c r="A15" i="8"/>
  <c r="L9" i="8"/>
  <c r="I9" i="8"/>
  <c r="E9" i="8"/>
  <c r="A9" i="8"/>
  <c r="E4" i="6"/>
  <c r="E5" i="6"/>
  <c r="F5" i="6"/>
  <c r="G5" i="6"/>
  <c r="H5" i="6"/>
  <c r="I5" i="6"/>
  <c r="E6" i="6"/>
  <c r="F6" i="6"/>
  <c r="G6" i="6"/>
  <c r="H6" i="6"/>
  <c r="I6" i="6"/>
  <c r="E7" i="6"/>
  <c r="F7" i="6"/>
  <c r="G7" i="6"/>
  <c r="H7" i="6"/>
  <c r="I7" i="6"/>
  <c r="E8" i="6"/>
  <c r="F8" i="6"/>
  <c r="G8" i="6"/>
  <c r="H8" i="6"/>
  <c r="I8" i="6"/>
  <c r="E9" i="6"/>
  <c r="F9" i="6"/>
  <c r="G9" i="6"/>
  <c r="H9" i="6"/>
  <c r="I9" i="6"/>
  <c r="E10" i="6"/>
  <c r="F10" i="6"/>
  <c r="G10" i="6"/>
  <c r="H10" i="6"/>
  <c r="I10" i="6"/>
  <c r="I4" i="6"/>
  <c r="H4" i="6"/>
  <c r="G4" i="6"/>
  <c r="F4" i="6"/>
  <c r="B50" i="6"/>
  <c r="B49" i="6"/>
  <c r="B48" i="6"/>
  <c r="B47" i="6"/>
  <c r="B46" i="6"/>
  <c r="B45" i="6"/>
  <c r="B44" i="6"/>
  <c r="B31" i="6"/>
  <c r="B32" i="6"/>
  <c r="B33" i="6"/>
  <c r="B34" i="6"/>
  <c r="B35" i="6"/>
  <c r="B36" i="6"/>
  <c r="B37" i="6"/>
  <c r="B38" i="6"/>
  <c r="B39" i="6"/>
  <c r="B40" i="6"/>
  <c r="B41" i="6"/>
  <c r="B30" i="6"/>
  <c r="B26" i="6"/>
  <c r="B27" i="6"/>
  <c r="B25" i="6"/>
  <c r="B21" i="6"/>
  <c r="B22" i="6"/>
  <c r="B20" i="6"/>
  <c r="B17" i="6"/>
  <c r="B16" i="6"/>
  <c r="B15" i="6"/>
  <c r="B14" i="6"/>
  <c r="B13" i="6"/>
  <c r="B12" i="6"/>
  <c r="B11" i="6"/>
  <c r="B10" i="6"/>
  <c r="B9" i="6"/>
  <c r="B8" i="6"/>
  <c r="B7" i="6"/>
  <c r="B6" i="6"/>
  <c r="B5" i="6"/>
  <c r="B4" i="6"/>
  <c r="C7" i="5"/>
  <c r="D7" i="5" s="1"/>
  <c r="C6" i="5"/>
  <c r="D6" i="5" s="1"/>
  <c r="C4" i="5"/>
  <c r="D4" i="5" s="1"/>
  <c r="C5" i="5"/>
  <c r="D5" i="5" s="1"/>
  <c r="C3" i="5"/>
  <c r="D3" i="5" s="1"/>
  <c r="C2" i="5"/>
  <c r="D2" i="5" s="1"/>
  <c r="C32" i="4"/>
  <c r="C30" i="4"/>
  <c r="C34" i="4"/>
  <c r="C33" i="4"/>
  <c r="C31" i="4"/>
  <c r="C28" i="4"/>
  <c r="AI3" i="4"/>
  <c r="AI4" i="4"/>
  <c r="AI5" i="4"/>
  <c r="AI6" i="4"/>
  <c r="AI7" i="4"/>
  <c r="AI8" i="4"/>
  <c r="AI9" i="4"/>
  <c r="AI10" i="4"/>
  <c r="AI11" i="4"/>
  <c r="AI12" i="4"/>
  <c r="AI13" i="4"/>
  <c r="AI14" i="4"/>
  <c r="AI15" i="4"/>
  <c r="AI16" i="4"/>
  <c r="AI17" i="4"/>
  <c r="AI18" i="4"/>
  <c r="AI19" i="4"/>
  <c r="AI20" i="4"/>
  <c r="AI21" i="4"/>
  <c r="AI22" i="4"/>
  <c r="AI23" i="4"/>
  <c r="AI24" i="4"/>
  <c r="AI25" i="4"/>
  <c r="AI26" i="4"/>
  <c r="AI2" i="4"/>
  <c r="AH3" i="4"/>
  <c r="AH6" i="4"/>
  <c r="AH10" i="4"/>
  <c r="AH14" i="4"/>
  <c r="AH17" i="4"/>
  <c r="AH22" i="4"/>
  <c r="AG5" i="4"/>
  <c r="AG8" i="4"/>
  <c r="AG12" i="4"/>
  <c r="AG18" i="4"/>
  <c r="AG24" i="4"/>
  <c r="AF3" i="4"/>
  <c r="AF4" i="4"/>
  <c r="AF5" i="4"/>
  <c r="AF6" i="4"/>
  <c r="AF7" i="4"/>
  <c r="AF8" i="4"/>
  <c r="AF9" i="4"/>
  <c r="AF10" i="4"/>
  <c r="AF11" i="4"/>
  <c r="AF12" i="4"/>
  <c r="AF13" i="4"/>
  <c r="AF14" i="4"/>
  <c r="AF15" i="4"/>
  <c r="AF16" i="4"/>
  <c r="AF17" i="4"/>
  <c r="AF18" i="4"/>
  <c r="AF19" i="4"/>
  <c r="AF20" i="4"/>
  <c r="AF21" i="4"/>
  <c r="AF22" i="4"/>
  <c r="AF23" i="4"/>
  <c r="AF24" i="4"/>
  <c r="AF25" i="4"/>
  <c r="AF26" i="4"/>
  <c r="AF2" i="4"/>
  <c r="AE3" i="4"/>
  <c r="AE4" i="4"/>
  <c r="AE5" i="4"/>
  <c r="AE6" i="4"/>
  <c r="AE7" i="4"/>
  <c r="AE8" i="4"/>
  <c r="AE9" i="4"/>
  <c r="AE10" i="4"/>
  <c r="AE11" i="4"/>
  <c r="AE12" i="4"/>
  <c r="AE13" i="4"/>
  <c r="AE14" i="4"/>
  <c r="AE15" i="4"/>
  <c r="AE16" i="4"/>
  <c r="AE17" i="4"/>
  <c r="AE18" i="4"/>
  <c r="AE19" i="4"/>
  <c r="AE20" i="4"/>
  <c r="AE21" i="4"/>
  <c r="AE22" i="4"/>
  <c r="AE23" i="4"/>
  <c r="AE24" i="4"/>
  <c r="AE25" i="4"/>
  <c r="AE26" i="4"/>
  <c r="AE2" i="4"/>
  <c r="AD3" i="4"/>
  <c r="AD4" i="4"/>
  <c r="AD5" i="4"/>
  <c r="AD6" i="4"/>
  <c r="AD7" i="4"/>
  <c r="AD8" i="4"/>
  <c r="AD9" i="4"/>
  <c r="AD10" i="4"/>
  <c r="AD11" i="4"/>
  <c r="AD12" i="4"/>
  <c r="AD13" i="4"/>
  <c r="AD14" i="4"/>
  <c r="AD15" i="4"/>
  <c r="AD16" i="4"/>
  <c r="AD17" i="4"/>
  <c r="AD18" i="4"/>
  <c r="AD19" i="4"/>
  <c r="AD20" i="4"/>
  <c r="AD21" i="4"/>
  <c r="AD22" i="4"/>
  <c r="AD23" i="4"/>
  <c r="AD24" i="4"/>
  <c r="AD25" i="4"/>
  <c r="AD26" i="4"/>
  <c r="AD2" i="4"/>
  <c r="AC3" i="4"/>
  <c r="AC4" i="4"/>
  <c r="AC5" i="4"/>
  <c r="AC6" i="4"/>
  <c r="AC7" i="4"/>
  <c r="AC8" i="4"/>
  <c r="AC9" i="4"/>
  <c r="AC10" i="4"/>
  <c r="AC11" i="4"/>
  <c r="AC12" i="4"/>
  <c r="AC13" i="4"/>
  <c r="AC14" i="4"/>
  <c r="AC15" i="4"/>
  <c r="AC16" i="4"/>
  <c r="AC17" i="4"/>
  <c r="AC18" i="4"/>
  <c r="AC19" i="4"/>
  <c r="AC20" i="4"/>
  <c r="AC21" i="4"/>
  <c r="AC22" i="4"/>
  <c r="AC23" i="4"/>
  <c r="AC24" i="4"/>
  <c r="AC25" i="4"/>
  <c r="AC26" i="4"/>
  <c r="AC2" i="4"/>
  <c r="AB3" i="4"/>
  <c r="AG3" i="4" s="1"/>
  <c r="AB4" i="4"/>
  <c r="AH4" i="4" s="1"/>
  <c r="AB5" i="4"/>
  <c r="AH5" i="4" s="1"/>
  <c r="AB6" i="4"/>
  <c r="AG6" i="4" s="1"/>
  <c r="AB7" i="4"/>
  <c r="AH7" i="4" s="1"/>
  <c r="AB8" i="4"/>
  <c r="AH8" i="4" s="1"/>
  <c r="AB9" i="4"/>
  <c r="AH9" i="4" s="1"/>
  <c r="AB10" i="4"/>
  <c r="AG10" i="4" s="1"/>
  <c r="AB11" i="4"/>
  <c r="AH11" i="4" s="1"/>
  <c r="AB12" i="4"/>
  <c r="AH12" i="4" s="1"/>
  <c r="AB13" i="4"/>
  <c r="AG13" i="4" s="1"/>
  <c r="AB14" i="4"/>
  <c r="AG14" i="4" s="1"/>
  <c r="AB15" i="4"/>
  <c r="AH15" i="4" s="1"/>
  <c r="AB16" i="4"/>
  <c r="AH16" i="4" s="1"/>
  <c r="AB17" i="4"/>
  <c r="AG17" i="4" s="1"/>
  <c r="AB18" i="4"/>
  <c r="AH18" i="4" s="1"/>
  <c r="AB19" i="4"/>
  <c r="AH19" i="4" s="1"/>
  <c r="AB20" i="4"/>
  <c r="AG20" i="4" s="1"/>
  <c r="AB21" i="4"/>
  <c r="AG21" i="4" s="1"/>
  <c r="AB22" i="4"/>
  <c r="AG22" i="4" s="1"/>
  <c r="AB23" i="4"/>
  <c r="AG23" i="4" s="1"/>
  <c r="AB24" i="4"/>
  <c r="AH24" i="4" s="1"/>
  <c r="AB25" i="4"/>
  <c r="AG25" i="4" s="1"/>
  <c r="AB26" i="4"/>
  <c r="AH26" i="4" s="1"/>
  <c r="AB2" i="4"/>
  <c r="AH2" i="4" s="1"/>
  <c r="AA6" i="4"/>
  <c r="AA8" i="4"/>
  <c r="AA14" i="4"/>
  <c r="AA17" i="4"/>
  <c r="AA21" i="4"/>
  <c r="AA26" i="4"/>
  <c r="AA2" i="4"/>
  <c r="C10" i="5" s="1"/>
  <c r="D10" i="5" s="1"/>
  <c r="Z3" i="4"/>
  <c r="AA3" i="4" s="1"/>
  <c r="Z4" i="4"/>
  <c r="AA4" i="4" s="1"/>
  <c r="Z5" i="4"/>
  <c r="AA5" i="4" s="1"/>
  <c r="Z6" i="4"/>
  <c r="Z7" i="4"/>
  <c r="AA7" i="4" s="1"/>
  <c r="Z8" i="4"/>
  <c r="Z9" i="4"/>
  <c r="AA9" i="4" s="1"/>
  <c r="Z10" i="4"/>
  <c r="AA10" i="4" s="1"/>
  <c r="Z11" i="4"/>
  <c r="AA11" i="4" s="1"/>
  <c r="Z12" i="4"/>
  <c r="AA12" i="4" s="1"/>
  <c r="Z13" i="4"/>
  <c r="AA13" i="4" s="1"/>
  <c r="Z14" i="4"/>
  <c r="Z15" i="4"/>
  <c r="AA15" i="4" s="1"/>
  <c r="Z16" i="4"/>
  <c r="AA16" i="4" s="1"/>
  <c r="Z17" i="4"/>
  <c r="Z18" i="4"/>
  <c r="AA18" i="4" s="1"/>
  <c r="Z19" i="4"/>
  <c r="AA19" i="4" s="1"/>
  <c r="Z20" i="4"/>
  <c r="AA20" i="4" s="1"/>
  <c r="Z21" i="4"/>
  <c r="Z22" i="4"/>
  <c r="AA22" i="4" s="1"/>
  <c r="Z23" i="4"/>
  <c r="AA23" i="4" s="1"/>
  <c r="Z24" i="4"/>
  <c r="AA24" i="4" s="1"/>
  <c r="Z25" i="4"/>
  <c r="AA25" i="4" s="1"/>
  <c r="Z26" i="4"/>
  <c r="Z2" i="4"/>
  <c r="C9" i="5" l="1"/>
  <c r="D9" i="5" s="1"/>
  <c r="AH23" i="4"/>
  <c r="AH13" i="4"/>
  <c r="AG11" i="4"/>
  <c r="C8" i="5"/>
  <c r="D8" i="5" s="1"/>
  <c r="C36" i="4"/>
  <c r="AH21" i="4"/>
  <c r="C29" i="4"/>
  <c r="AG9" i="4"/>
  <c r="AH25" i="4"/>
  <c r="C35" i="4"/>
  <c r="AG19" i="4"/>
  <c r="AG7" i="4"/>
  <c r="AH20" i="4"/>
  <c r="AG16" i="4"/>
  <c r="AG4" i="4"/>
  <c r="AG15" i="4"/>
  <c r="AG26" i="4"/>
  <c r="AG2" i="4"/>
  <c r="C12" i="5" l="1"/>
  <c r="D12" i="5" s="1"/>
  <c r="C11" i="5"/>
  <c r="D11" i="5" s="1"/>
  <c r="C38" i="4"/>
  <c r="C37" i="4"/>
</calcChain>
</file>

<file path=xl/sharedStrings.xml><?xml version="1.0" encoding="utf-8"?>
<sst xmlns="http://schemas.openxmlformats.org/spreadsheetml/2006/main" count="1486" uniqueCount="451">
  <si>
    <t>Provider Name</t>
  </si>
  <si>
    <t>Practice Name</t>
  </si>
  <si>
    <t>Individual NPI</t>
  </si>
  <si>
    <t>Group NPI</t>
  </si>
  <si>
    <t>Credentialed NPI</t>
  </si>
  <si>
    <t>Enrolled NPI</t>
  </si>
  <si>
    <t>Tax ID</t>
  </si>
  <si>
    <t>Payer Name</t>
  </si>
  <si>
    <t>Payer ID</t>
  </si>
  <si>
    <t>Payer Type</t>
  </si>
  <si>
    <t>PTAN/Provider number</t>
  </si>
  <si>
    <t xml:space="preserve">Enrollment Type </t>
  </si>
  <si>
    <t>Credentialing status</t>
  </si>
  <si>
    <t>Claims_Enrollment_Status</t>
  </si>
  <si>
    <t>ERA Enrollment Status</t>
  </si>
  <si>
    <t>EEP updated?</t>
  </si>
  <si>
    <t>EEP Status</t>
  </si>
  <si>
    <t>Submitted Date</t>
  </si>
  <si>
    <t>Approved date</t>
  </si>
  <si>
    <t>Current Status</t>
  </si>
  <si>
    <t>Blocked reason</t>
  </si>
  <si>
    <t>Assigned Owner</t>
  </si>
  <si>
    <t>Follow-up Date</t>
  </si>
  <si>
    <t>Notes</t>
  </si>
  <si>
    <t>Record_ID</t>
  </si>
  <si>
    <t>ENR-001</t>
  </si>
  <si>
    <t>ENR-002</t>
  </si>
  <si>
    <t>ENR-003</t>
  </si>
  <si>
    <t>ENR-004</t>
  </si>
  <si>
    <t>ENR-005</t>
  </si>
  <si>
    <t>ENR-006</t>
  </si>
  <si>
    <t>ENR-007</t>
  </si>
  <si>
    <t>ENR-008</t>
  </si>
  <si>
    <t>ENR-009</t>
  </si>
  <si>
    <t>ENR-010</t>
  </si>
  <si>
    <t>ENR-011</t>
  </si>
  <si>
    <t>ENR-012</t>
  </si>
  <si>
    <t>ENR-013</t>
  </si>
  <si>
    <t>ENR-014</t>
  </si>
  <si>
    <t>ENR-015</t>
  </si>
  <si>
    <t>ENR-016</t>
  </si>
  <si>
    <t>ENR-017</t>
  </si>
  <si>
    <t>ENR-018</t>
  </si>
  <si>
    <t>ENR-019</t>
  </si>
  <si>
    <t>ENR-020</t>
  </si>
  <si>
    <t>ENR-021</t>
  </si>
  <si>
    <t>ENR-022</t>
  </si>
  <si>
    <t>ENR-023</t>
  </si>
  <si>
    <t>ENR-024</t>
  </si>
  <si>
    <t>ENR-025</t>
  </si>
  <si>
    <t>River Valley Family Care</t>
  </si>
  <si>
    <t>Dr. JIM Fitz</t>
  </si>
  <si>
    <t>IND-NPI-1001</t>
  </si>
  <si>
    <t>IND-NPI-1002</t>
  </si>
  <si>
    <t>IND-NPI-1003</t>
  </si>
  <si>
    <t>IND-NPI-1004</t>
  </si>
  <si>
    <t>IND-NPI-1005</t>
  </si>
  <si>
    <t>IND-NPI-1006</t>
  </si>
  <si>
    <t>IND-NPI-1007</t>
  </si>
  <si>
    <t>IND-NPI-1008</t>
  </si>
  <si>
    <t>IND-NPI-1009</t>
  </si>
  <si>
    <t>IND-NPI-1010</t>
  </si>
  <si>
    <t>IND-NPI-1011</t>
  </si>
  <si>
    <t>IND-NPI-1012</t>
  </si>
  <si>
    <t>IND-NPI-1013</t>
  </si>
  <si>
    <t>IND-NPI-1014</t>
  </si>
  <si>
    <t>IND-NPI-1015</t>
  </si>
  <si>
    <t>IND-NPI-1016</t>
  </si>
  <si>
    <t>IND-NPI-1017</t>
  </si>
  <si>
    <t>IND-NPI-1018</t>
  </si>
  <si>
    <t>IND-NPI-1019</t>
  </si>
  <si>
    <t>IND-NPI-1020</t>
  </si>
  <si>
    <t>IND-NPI-1021</t>
  </si>
  <si>
    <t>IND-NPI-1022</t>
  </si>
  <si>
    <t>IND-NPI-1023</t>
  </si>
  <si>
    <t>IND-NPI-1024</t>
  </si>
  <si>
    <t>GRP-NPI-9001</t>
  </si>
  <si>
    <t>SYN-TIN-001</t>
  </si>
  <si>
    <t>Medicare</t>
  </si>
  <si>
    <t>MED01</t>
  </si>
  <si>
    <t>Government</t>
  </si>
  <si>
    <t>PTAN-001</t>
  </si>
  <si>
    <t>Claims and ERA</t>
  </si>
  <si>
    <t>Completed</t>
  </si>
  <si>
    <t>Approved</t>
  </si>
  <si>
    <t>Yes</t>
  </si>
  <si>
    <t>Ready</t>
  </si>
  <si>
    <t>No Blocker</t>
  </si>
  <si>
    <t>Nt92346</t>
  </si>
  <si>
    <t>Ready for claims and ERA</t>
  </si>
  <si>
    <t>Blue Cross</t>
  </si>
  <si>
    <t>BCBS01</t>
  </si>
  <si>
    <t>Commercial</t>
  </si>
  <si>
    <t>NA</t>
  </si>
  <si>
    <t>Claims</t>
  </si>
  <si>
    <t>Pending</t>
  </si>
  <si>
    <t>Not Started</t>
  </si>
  <si>
    <t>No</t>
  </si>
  <si>
    <t>Northside Pediatrics</t>
  </si>
  <si>
    <t>Greenway Internal Medicine</t>
  </si>
  <si>
    <t>Lakeside Women Health</t>
  </si>
  <si>
    <t>Hillcrest Orthopedics</t>
  </si>
  <si>
    <t>Brightcare Cardiology</t>
  </si>
  <si>
    <t>Cedar Grove Clinic</t>
  </si>
  <si>
    <t>Oak Street Primary Care</t>
  </si>
  <si>
    <t>Westbrook Dermatology</t>
  </si>
  <si>
    <t>Summit Eye Care</t>
  </si>
  <si>
    <t>Pine Ridge Family Clinic</t>
  </si>
  <si>
    <t>Silverline Neurology</t>
  </si>
  <si>
    <t>Maple Leaf Urgent Care</t>
  </si>
  <si>
    <t>Southview endocrinology</t>
  </si>
  <si>
    <t>Blue Harbor ENT</t>
  </si>
  <si>
    <t>Valley View Gastro</t>
  </si>
  <si>
    <t>Riverside Behavioral Health</t>
  </si>
  <si>
    <t>Sunrise Family Medicine</t>
  </si>
  <si>
    <t>Metro Spine Center</t>
  </si>
  <si>
    <t>Parkside Oncology</t>
  </si>
  <si>
    <t>Eastwood Pulmonary</t>
  </si>
  <si>
    <t>Coral Springs Primary Care</t>
  </si>
  <si>
    <t>Grand Oak Surgery Center</t>
  </si>
  <si>
    <t>Willow Creek Pediatrics</t>
  </si>
  <si>
    <t>Dr. Joel Fernandez</t>
  </si>
  <si>
    <t>Dr. Daniel Lee</t>
  </si>
  <si>
    <t>Dr. Priya Shah</t>
  </si>
  <si>
    <t>Dr. Mark Wilson</t>
  </si>
  <si>
    <t>Dr. Vivek Nair</t>
  </si>
  <si>
    <t>Dr. Emily Chen</t>
  </si>
  <si>
    <t>Dr. Elizabeth Wanson</t>
  </si>
  <si>
    <t>Dr. Sarah Marshall</t>
  </si>
  <si>
    <t>Dr. Alan Brooks</t>
  </si>
  <si>
    <t>Dr. Kavya Iyer</t>
  </si>
  <si>
    <t>Dr. Thomas Gray</t>
  </si>
  <si>
    <t>Dr. Isla Fischer</t>
  </si>
  <si>
    <t>Dr. Omar Ali</t>
  </si>
  <si>
    <t>Dr. Lily Morgan</t>
  </si>
  <si>
    <t>Dr. Sanjay Mehta</t>
  </si>
  <si>
    <t>Dr. Hannah scott</t>
  </si>
  <si>
    <t>Dr. Alan Adams</t>
  </si>
  <si>
    <t>Dr. Grace Miller</t>
  </si>
  <si>
    <t>Dr. Farah Ahmed</t>
  </si>
  <si>
    <t>Dr. Kevin Brown</t>
  </si>
  <si>
    <t>Dr. June mandarin</t>
  </si>
  <si>
    <t>Dr. Nathan Reed</t>
  </si>
  <si>
    <t>Dr. Elena Torres</t>
  </si>
  <si>
    <t>GRP-NPI-9002</t>
  </si>
  <si>
    <t>GRP-NPI-9003</t>
  </si>
  <si>
    <t>GRP-NPI-9004</t>
  </si>
  <si>
    <t>GRP-NPI-9005</t>
  </si>
  <si>
    <t>GRP-NPI-9006</t>
  </si>
  <si>
    <t>GRP-NPI-9007</t>
  </si>
  <si>
    <t>GRP-NPI-9008</t>
  </si>
  <si>
    <t>GRP-NPI-9009</t>
  </si>
  <si>
    <t>GRP-NPI-9010</t>
  </si>
  <si>
    <t>GRP-NPI-9011</t>
  </si>
  <si>
    <t>GRP-NPI-9012</t>
  </si>
  <si>
    <t>GRP-NPI-9013</t>
  </si>
  <si>
    <t>GRP-NPI-9014</t>
  </si>
  <si>
    <t>GRP-NPI-9015</t>
  </si>
  <si>
    <t>GRP-NPI-9016</t>
  </si>
  <si>
    <t>GRP-NPI-9017</t>
  </si>
  <si>
    <t>GRP-NPI-9018</t>
  </si>
  <si>
    <t>GRP-NPI-9019</t>
  </si>
  <si>
    <t>GRP-NPI-9020</t>
  </si>
  <si>
    <t>GRP-NPI-9021</t>
  </si>
  <si>
    <t>GRP-NPI-9022</t>
  </si>
  <si>
    <t>GRP-NPI-9023</t>
  </si>
  <si>
    <t>GRP-NPI-9024</t>
  </si>
  <si>
    <t>SYN-TIN-002</t>
  </si>
  <si>
    <t>SYN-TIN-003</t>
  </si>
  <si>
    <t>SYN-TIN-004</t>
  </si>
  <si>
    <t>SYN-TIN-005</t>
  </si>
  <si>
    <t>SYN-TIN-006</t>
  </si>
  <si>
    <t>SYN-TIN-007</t>
  </si>
  <si>
    <t>SYN-TIN-008</t>
  </si>
  <si>
    <t>SYN-TIN-009</t>
  </si>
  <si>
    <t>SYN-TIN-010</t>
  </si>
  <si>
    <t>SYN-TIN-011</t>
  </si>
  <si>
    <t>SYN-TIN-012</t>
  </si>
  <si>
    <t>SYN-TIN-013</t>
  </si>
  <si>
    <t>SYN-TIN-014</t>
  </si>
  <si>
    <t>SYN-TIN-015</t>
  </si>
  <si>
    <t>SYN-TIN-016</t>
  </si>
  <si>
    <t>SYN-TIN-017</t>
  </si>
  <si>
    <t>SYN-TIN-018</t>
  </si>
  <si>
    <t>SYN-TIN-019</t>
  </si>
  <si>
    <t>SYN-TIN-020</t>
  </si>
  <si>
    <t>SYN-TIN-021</t>
  </si>
  <si>
    <t>SYN-TIN-022</t>
  </si>
  <si>
    <t>SYN-TIN-023</t>
  </si>
  <si>
    <t>SYN-TIN-024</t>
  </si>
  <si>
    <t>Medicaid</t>
  </si>
  <si>
    <t>Aetna</t>
  </si>
  <si>
    <t>MCD01</t>
  </si>
  <si>
    <t>AET01</t>
  </si>
  <si>
    <t>United Healthacare</t>
  </si>
  <si>
    <t>UHC01</t>
  </si>
  <si>
    <t>Cigna</t>
  </si>
  <si>
    <t>Humana</t>
  </si>
  <si>
    <t>BC0001</t>
  </si>
  <si>
    <t>MCD02</t>
  </si>
  <si>
    <t>CIG01</t>
  </si>
  <si>
    <t>HUM01</t>
  </si>
  <si>
    <t>BLU01</t>
  </si>
  <si>
    <t>UNI01</t>
  </si>
  <si>
    <t>AET02</t>
  </si>
  <si>
    <t>HUM02</t>
  </si>
  <si>
    <t>BLU02</t>
  </si>
  <si>
    <t>CIG02</t>
  </si>
  <si>
    <t>UNI02</t>
  </si>
  <si>
    <t>PTAN-002</t>
  </si>
  <si>
    <t>PTAN-OLD</t>
  </si>
  <si>
    <t>PTAN-012</t>
  </si>
  <si>
    <t>PTAN-014</t>
  </si>
  <si>
    <t>PTAN-018</t>
  </si>
  <si>
    <t>MCD002</t>
  </si>
  <si>
    <t>PTAN-WRONG</t>
  </si>
  <si>
    <t>ERA</t>
  </si>
  <si>
    <t>In Progress</t>
  </si>
  <si>
    <t>Rejected</t>
  </si>
  <si>
    <t>Not Required</t>
  </si>
  <si>
    <t>Not started</t>
  </si>
  <si>
    <t>Issue Found</t>
  </si>
  <si>
    <t>Blocked</t>
  </si>
  <si>
    <t>Individual NPI used instead of Group NPI</t>
  </si>
  <si>
    <t>Medicaid additional enrollment is missing</t>
  </si>
  <si>
    <t>Clearinghouse portal not updated</t>
  </si>
  <si>
    <t>Credentialed NPI mismatch</t>
  </si>
  <si>
    <t>Incorrect PTAN/Provider number</t>
  </si>
  <si>
    <t>Old Payer ID used</t>
  </si>
  <si>
    <t>Credentialing not completed</t>
  </si>
  <si>
    <t>Missing payer approval</t>
  </si>
  <si>
    <t>ERA Setup not completed</t>
  </si>
  <si>
    <t>Wrong Payer ID</t>
  </si>
  <si>
    <t>Medicare additional enrollment missing</t>
  </si>
  <si>
    <t>NC00234</t>
  </si>
  <si>
    <t>Js19731</t>
  </si>
  <si>
    <t>ns</t>
  </si>
  <si>
    <t>Need to re-submit under Group NPI</t>
  </si>
  <si>
    <t>Additional Mediacaid enrollment required after</t>
  </si>
  <si>
    <t>ERA enrollment pending route update</t>
  </si>
  <si>
    <t>Claims setup completed</t>
  </si>
  <si>
    <t>Enrolled group NPI does not match credentialed NPI</t>
  </si>
  <si>
    <t>ERS setup complete</t>
  </si>
  <si>
    <t>Prcatice provided old PTAN</t>
  </si>
  <si>
    <t>need to update payer ID before cliams submission</t>
  </si>
  <si>
    <t>Do not submit claims until credentialing is complete</t>
  </si>
  <si>
    <t>ERA rejected due to billing entity mismatch</t>
  </si>
  <si>
    <t>waiting for payer approval</t>
  </si>
  <si>
    <t>claims enrollment approved</t>
  </si>
  <si>
    <t>Payer approved but portal route still pending</t>
  </si>
  <si>
    <t>Wrong group NPI entered during enrollment</t>
  </si>
  <si>
    <t xml:space="preserve">Ready for claims </t>
  </si>
  <si>
    <t>ERA pending payer confirmation</t>
  </si>
  <si>
    <t xml:space="preserve">Incorrect payer ID used in enrollment </t>
  </si>
  <si>
    <t>Additional Medicare step required</t>
  </si>
  <si>
    <t>Claims and ERA ready</t>
  </si>
  <si>
    <t>Claims enrollment submitted under individual NPI</t>
  </si>
  <si>
    <t>Wrong Medicaid provider number entered</t>
  </si>
  <si>
    <t>ERA route pending clearinghouse update</t>
  </si>
  <si>
    <t>Credentialing still in progress</t>
  </si>
  <si>
    <t>KPI Name</t>
  </si>
  <si>
    <t>Definition</t>
  </si>
  <si>
    <t>Why It Matters</t>
  </si>
  <si>
    <t>Total Enrollment Records</t>
  </si>
  <si>
    <t>Count of all enrollment/setup records</t>
  </si>
  <si>
    <t>Shows total workload</t>
  </si>
  <si>
    <t>Ready Count</t>
  </si>
  <si>
    <t>Count of records with Current Status = Ready</t>
  </si>
  <si>
    <t>Shows practices/payers ready for transactions</t>
  </si>
  <si>
    <t>Pending Count</t>
  </si>
  <si>
    <t>Count of records with Current Status = Pending</t>
  </si>
  <si>
    <t>Shows open items still in progress</t>
  </si>
  <si>
    <t>Blocked Count</t>
  </si>
  <si>
    <t>Count of records with Current Status = Blocked</t>
  </si>
  <si>
    <t>Shows items requiring action</t>
  </si>
  <si>
    <t>Claims Approved Count</t>
  </si>
  <si>
    <t>Count of records with Claims Enrollment Status = Approved</t>
  </si>
  <si>
    <t>Shows claims readiness</t>
  </si>
  <si>
    <t>ERA Approved Count</t>
  </si>
  <si>
    <t>Count of records with ERA Enrollment Status = Approved</t>
  </si>
  <si>
    <t>Shows ERA readiness</t>
  </si>
  <si>
    <t>Clearinghouse Completed Count</t>
  </si>
  <si>
    <t>Count of records with Clearinghouse Configuration Status = Completed</t>
  </si>
  <si>
    <t>Shows configuration readiness</t>
  </si>
  <si>
    <t>NPI Mismatch Count</t>
  </si>
  <si>
    <t>Count of records with NPI-related blocker reasons</t>
  </si>
  <si>
    <t>Tracks provider identifier issues</t>
  </si>
  <si>
    <t>PTAN Issue Count</t>
  </si>
  <si>
    <t>Count of records with incorrect PTAN/provider number</t>
  </si>
  <si>
    <t>Tracks Medicare/Medicaid provider number issues</t>
  </si>
  <si>
    <t>Payer ID Issue Count</t>
  </si>
  <si>
    <t>Count of records with wrong or old payer ID</t>
  </si>
  <si>
    <t>Tracks payer routing problems</t>
  </si>
  <si>
    <t>Clearinghouse Portal Gap Count</t>
  </si>
  <si>
    <t>Count of records where portal update is missing</t>
  </si>
  <si>
    <t>Tracks clearinghouse setup gaps</t>
  </si>
  <si>
    <t xml:space="preserve">Dashboard Snapshot date </t>
  </si>
  <si>
    <t>Aging Days</t>
  </si>
  <si>
    <t>SLA Status</t>
  </si>
  <si>
    <t>NPI Match Status</t>
  </si>
  <si>
    <t>Provider Identifier Issue Flag</t>
  </si>
  <si>
    <t>Payer Routing issue Flag</t>
  </si>
  <si>
    <t>Clearinghouse gap Flag</t>
  </si>
  <si>
    <t>Government Payer Issue Flag</t>
  </si>
  <si>
    <t>Claims Ready Flag</t>
  </si>
  <si>
    <t>Records Over 21 Days</t>
  </si>
  <si>
    <t>Total Records</t>
  </si>
  <si>
    <t>Blank Record IDs</t>
  </si>
  <si>
    <t>Blank Payer Names</t>
  </si>
  <si>
    <t>Blank Practice Name</t>
  </si>
  <si>
    <t>Blank Submitted Dates</t>
  </si>
  <si>
    <t>Invalid Current Status</t>
  </si>
  <si>
    <t>Npi Mismatch Record</t>
  </si>
  <si>
    <t>Records over 21 days</t>
  </si>
  <si>
    <t>SLA Breach count</t>
  </si>
  <si>
    <t>claims ready count</t>
  </si>
  <si>
    <t xml:space="preserve">ERA ready count </t>
  </si>
  <si>
    <t>ERA Ready Flag</t>
  </si>
  <si>
    <t>Check Name</t>
  </si>
  <si>
    <t>Expected Result</t>
  </si>
  <si>
    <t>Actual Result</t>
  </si>
  <si>
    <t>Check Status</t>
  </si>
  <si>
    <t>Blank Record Ids</t>
  </si>
  <si>
    <t>Blank Practice Names</t>
  </si>
  <si>
    <t>SLA Breached Records</t>
  </si>
  <si>
    <t>Row Labels</t>
  </si>
  <si>
    <t>Count of Record_ID</t>
  </si>
  <si>
    <t>Grand Total</t>
  </si>
  <si>
    <t>Column Labels</t>
  </si>
  <si>
    <t>Provider/Payer EDI Enrollment Readiness - Summary Metrics</t>
  </si>
  <si>
    <t>KPI</t>
  </si>
  <si>
    <t>Value</t>
  </si>
  <si>
    <t>Action Required Count</t>
  </si>
  <si>
    <t>SLA Breached Count</t>
  </si>
  <si>
    <t>Average Aging Days</t>
  </si>
  <si>
    <t>Claims Ready Count</t>
  </si>
  <si>
    <t>Claims Reday Records</t>
  </si>
  <si>
    <t>ERA Ready Records</t>
  </si>
  <si>
    <t>NPI Mismatch Records</t>
  </si>
  <si>
    <t>Provider Identifier Issue Count</t>
  </si>
  <si>
    <t>Payer Routing Issue Count</t>
  </si>
  <si>
    <t>Clearinghouse Gap Count</t>
  </si>
  <si>
    <t>Government Payer Issue Count</t>
  </si>
  <si>
    <t>ERA Ready Count</t>
  </si>
  <si>
    <t>Count</t>
  </si>
  <si>
    <t>Enrollment Type</t>
  </si>
  <si>
    <t>Blocker Reason</t>
  </si>
  <si>
    <t>Issue Category</t>
  </si>
  <si>
    <t xml:space="preserve">Provider Identifier Issue </t>
  </si>
  <si>
    <t xml:space="preserve">Payer Routing Issue </t>
  </si>
  <si>
    <t xml:space="preserve">Clearinghouse Gap </t>
  </si>
  <si>
    <t>Government Payer Issue</t>
  </si>
  <si>
    <t>Credentialing issue</t>
  </si>
  <si>
    <t>Payer Approval pending</t>
  </si>
  <si>
    <t>ERA setup issue</t>
  </si>
  <si>
    <t>SLA Breached</t>
  </si>
  <si>
    <t>Blocker Reason Summary</t>
  </si>
  <si>
    <t>Current Status Summary</t>
  </si>
  <si>
    <t>Payer by current status</t>
  </si>
  <si>
    <t>SLA Status By Payer</t>
  </si>
  <si>
    <t>Assigned Owner Workload</t>
  </si>
  <si>
    <t>Assignee</t>
  </si>
  <si>
    <t>Current Satus</t>
  </si>
  <si>
    <t>Action Required Flag</t>
  </si>
  <si>
    <t>Enrollment Type By Current Status</t>
  </si>
  <si>
    <t>Claims Ready Vs ERA Ready</t>
  </si>
  <si>
    <t>Claims status</t>
  </si>
  <si>
    <t>ERA Status</t>
  </si>
  <si>
    <t>Provider/Payer EDI Enrollment Readiness Dashboard</t>
  </si>
  <si>
    <t>Snapshot date:06/032026</t>
  </si>
  <si>
    <t>Claims Enrollment | ERA Enrollment | Clearinghouse Readiness | NPI/PTAN issues |Credentialing Alignment | Payer Setup</t>
  </si>
  <si>
    <t>Top Blocker reason</t>
  </si>
  <si>
    <t>ERA Ready</t>
  </si>
  <si>
    <t>Readiness Type</t>
  </si>
  <si>
    <t>Claims Ready</t>
  </si>
  <si>
    <t xml:space="preserve">ERA Ready </t>
  </si>
  <si>
    <t>Key Insights</t>
  </si>
  <si>
    <t>3. Clearinghouse portal gaps and individual-vs-group NPI issues are the top blockers</t>
  </si>
  <si>
    <t>4. Medicare, Medicaid, and United Healthcare have the highest blocked counts</t>
  </si>
  <si>
    <t>5. Claims readiness is higher than ERA readiness</t>
  </si>
  <si>
    <t>Action Required</t>
  </si>
  <si>
    <t>1. 18 of 25 records require action due to enrollment, credentialing, payer setup, NPI/PTAN</t>
  </si>
  <si>
    <t>2. 13 records beyond the 21-day SLA, indicating aging risk in enrollment workflow</t>
  </si>
  <si>
    <t>Provider/Payer EDI Enrollment Readiness Dashboard - Insights &amp; Recommendations</t>
  </si>
  <si>
    <t>Business Problem</t>
  </si>
  <si>
    <t>Healthcare practices need to be properly configured for electronic claims submission and ERA receipt through the preferred clearinghouse. However, claims and remittance workflows can be delayed or blocked when credentialing, payer enrollment, NPI setup, PTAN/provider number, payer ID, or clearinghouse configuration details are incomplete or incorrect.</t>
  </si>
  <si>
    <t>Dashboard Puropse</t>
  </si>
  <si>
    <t>The purpose of this dashboard is to monitor provider/payer EDI enrollment readiness across claims enrollment, ERA enrollment, credentialing alignment, payer setup, NPI/PTAN validation, and clearinghouse configuration.</t>
  </si>
  <si>
    <t>The dashboard is designed to help enrollment, EDI, revenue-cycle, and operations teams quickly answer:</t>
  </si>
  <si>
    <t>1. How many records are ready, pending, or blocked?</t>
  </si>
  <si>
    <t>2. How many records require action?</t>
  </si>
  <si>
    <t>3. Which records have breached the 21-day SLA?</t>
  </si>
  <si>
    <t>4. What are the top enrollment/configuration blockers?</t>
  </si>
  <si>
    <t>5. Which payers have the highest blocked record count?</t>
  </si>
  <si>
    <t>6. Are more records ready for claims submission or ERA receipt?</t>
  </si>
  <si>
    <t>7. Which owners have the highest action-required workload?</t>
  </si>
  <si>
    <t>Business Meaning</t>
  </si>
  <si>
    <t>Total enrollment/configuration records reviewed</t>
  </si>
  <si>
    <t>Records ready for claims and/or ERA transaction flow</t>
  </si>
  <si>
    <t>Records still in progress</t>
  </si>
  <si>
    <t>Records stopped by a blocker or issue</t>
  </si>
  <si>
    <t>Records that need follow-up or correction</t>
  </si>
  <si>
    <t>Records older than the 21-day SLA</t>
  </si>
  <si>
    <t>Records ready for electronic claims submission</t>
  </si>
  <si>
    <t>Records ready for electronic remittance receipt</t>
  </si>
  <si>
    <t>#</t>
  </si>
  <si>
    <t>Insight</t>
  </si>
  <si>
    <t>Evidence</t>
  </si>
  <si>
    <t>Business Impact</t>
  </si>
  <si>
    <t>Most records require follow-up action.</t>
  </si>
  <si>
    <t>18 of 25 records have Action Required = Yes.</t>
  </si>
  <si>
    <t>Enrollment teams need to prioritize open blockers before claims or ERA workflows can be considered fully ready.</t>
  </si>
  <si>
    <t>Aging risk is significant.</t>
  </si>
  <si>
    <t>13 records have breached the assumed 21-day SLA.</t>
  </si>
  <si>
    <t>Delayed enrollment/configuration work can lead to claims submission delays, ERA delays, and downstream revenue-cycle issues.</t>
  </si>
  <si>
    <t>Clearinghouse portal gaps and individual-vs-group NPI issues are the top blockers.</t>
  </si>
  <si>
    <t>Both appear 3 times each among actionable blocker reasons.</t>
  </si>
  <si>
    <t>These issues should be targeted first because they are the most frequent root causes.</t>
  </si>
  <si>
    <t>Medicare, Medicaid, and United Healthcare have the highest blocked record counts.</t>
  </si>
  <si>
    <t>Each has 2 blocked records.</t>
  </si>
  <si>
    <t>These payers may require closer monitoring, follow-up, or payer-specific checklist validation.</t>
  </si>
  <si>
    <t>Claims readiness is higher than ERA readiness.</t>
  </si>
  <si>
    <t>Claims Ready = 6, ERA Ready = 4.</t>
  </si>
  <si>
    <t>ERA setup may require additional follow-up to reduce manual remittance/payment posting risk.</t>
  </si>
  <si>
    <t>Recommendation</t>
  </si>
  <si>
    <t>Reason</t>
  </si>
  <si>
    <t>Validate credentialed NPI against enrolled NPI before submitting claims or ERA enrollment.</t>
  </si>
  <si>
    <t>This helps prevent individual-vs-group NPI mismatches and credentialed NPI mismatch issues.</t>
  </si>
  <si>
    <t>Add a clearinghouse portal update checkpoint before marking a record ready.</t>
  </si>
  <si>
    <t>Clearinghouse portal gaps are one of the top blockers.</t>
  </si>
  <si>
    <t>Create a Medicare/Medicaid checklist for PTAN, provider number, and additional enrollment requirements.</t>
  </si>
  <si>
    <t>Government payer records often require additional setup beyond credentialing.</t>
  </si>
  <si>
    <t>Review SLA-breached records weekly.</t>
  </si>
  <si>
    <t>13 records are already beyond the assumed 21-day SLA.</t>
  </si>
  <si>
    <t>Prioritize payer follow-up for Medicare, Medicaid, and United Healthcare.</t>
  </si>
  <si>
    <t>These payers have the highest blocked record counts in the sample dataset.</t>
  </si>
  <si>
    <t>Track claims readiness and ERA readiness separately.</t>
  </si>
  <si>
    <t>A record may be claims-ready but not ERA-ready, which can still create downstream remittance issues.</t>
  </si>
  <si>
    <t>Assumptions:</t>
  </si>
  <si>
    <t>1. This project uses synthetic data only.</t>
  </si>
  <si>
    <t>2. One row represents one practice/provider/payer/enrollment setup record.</t>
  </si>
  <si>
    <t>3. A 21-day SLA was assumed for identifying aging risk.</t>
  </si>
  <si>
    <t>4. “No blocker” records are considered ready or not requiring action.</t>
  </si>
  <si>
    <t>5. Action-required analysis excludes records marked “No blocker.”</t>
  </si>
  <si>
    <t>6. Claims readiness and ERA readiness are evaluated separately because a record may be ready for one workflow but not the other.</t>
  </si>
  <si>
    <t>7. The current 25-row dataset is a learning sample and will be expanded before final portfolio publication.</t>
  </si>
  <si>
    <t>How would I explain this project?</t>
  </si>
  <si>
    <t>I built a Provider/Payer EDI Enrollment Readiness Dashboard to analyze whether practices/providers are ready for electronic claims submission and ERA receipt through a preferred clearinghouse.
The dataset tracks credentialing status, claims enrollment, ERA enrollment, clearinghouse configuration, NPI alignment, PTAN/provider number issues, payer ID issues, current status, SLA aging, and blocker reasons.
I created calculated fields for aging days, SLA status, NPI match status, provider identifier issue flags, payer routing issue flags, clearinghouse gap flags, government payer issue flags, claims readiness, ERA readiness, and action-required status.
The dashboard highlights overall readiness, blocked and pending records, SLA breaches, top blockers, payer-level blocked counts, claims vs ERA readiness, and owner workload.
The main insight is that most records require action, with clearinghouse portal gaps and NPI-related issues being the most common blockers. Based on this, I recommended stronger NPI validation, clearinghouse update checkpoints, Medicare/Medicaid enrollment checklists, and weekly review of SLA-breached records.</t>
  </si>
  <si>
    <t>Portfolio Summary</t>
  </si>
  <si>
    <t>Built an Excel-based healthcare EDI enrollment readiness dashboard using synthetic data to track claims enrollment, ERA enrollment, credentialing alignment, payer setup, NPI/PTAN issues, clearinghouse configuration, SLA breaches, and action-required records.</t>
  </si>
  <si>
    <t>Tools used: Excel, Excel Tables, formulas, PivotTables, PivotCharts, KPI cards, and dashboard design.</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</si>
</sst>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0"/>
      <color rgb="FF000000"/>
      <name val="Amiri"/>
    </font>
    <font>
      <b/>
      <sz val="12"/>
      <color theme="1"/>
      <name val="Calibri"/>
      <family val="2"/>
      <scheme val="minor"/>
    </font>
    <font>
      <b/>
      <sz val="15"/>
      <color theme="1"/>
      <name val="Calibri"/>
      <family val="2"/>
      <scheme val="minor"/>
    </font>
    <font>
      <sz val="10"/>
      <color theme="1"/>
      <name val="Calibri"/>
      <family val="2"/>
      <scheme val="minor"/>
    </font>
    <font>
      <sz val="6"/>
      <color theme="1"/>
      <name val="Calibri"/>
      <family val="2"/>
      <scheme val="minor"/>
    </font>
    <font>
      <b/>
      <sz val="14"/>
      <color theme="0"/>
      <name val="Calibri"/>
      <family val="2"/>
      <scheme val="minor"/>
    </font>
    <font>
      <sz val="7"/>
      <color rgb="FF000000"/>
      <name val="Amiri"/>
    </font>
    <font>
      <sz val="8"/>
      <color rgb="FF000000"/>
      <name val="Amiri"/>
    </font>
  </fonts>
  <fills count="3">
    <fill>
      <patternFill patternType="none"/>
    </fill>
    <fill>
      <patternFill patternType="gray125"/>
    </fill>
    <fill>
      <patternFill patternType="solid">
        <fgColor theme="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16">
    <xf numFmtId="0" fontId="0" fillId="0" borderId="0" xfId="0"/>
    <xf numFmtId="14" fontId="0" fillId="0" borderId="0" xfId="0" applyNumberFormat="1"/>
    <xf numFmtId="0" fontId="1" fillId="0" borderId="0" xfId="0" applyFont="1"/>
    <xf numFmtId="0" fontId="1" fillId="0" borderId="1" xfId="0" applyFont="1" applyBorder="1"/>
    <xf numFmtId="0" fontId="0" fillId="0" borderId="1" xfId="0" applyBorder="1"/>
    <xf numFmtId="14" fontId="0" fillId="0" borderId="1" xfId="0" applyNumberForma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2" xfId="0" applyBorder="1"/>
    <xf numFmtId="0" fontId="0" fillId="0" borderId="1" xfId="0" applyFont="1" applyBorder="1"/>
    <xf numFmtId="0" fontId="1" fillId="0" borderId="7" xfId="0" applyFont="1" applyBorder="1"/>
    <xf numFmtId="0" fontId="1" fillId="0" borderId="6" xfId="0" applyFont="1" applyBorder="1"/>
    <xf numFmtId="0" fontId="1" fillId="0" borderId="8" xfId="0" applyFont="1" applyBorder="1"/>
    <xf numFmtId="0" fontId="0" fillId="0" borderId="9" xfId="0" applyBorder="1"/>
    <xf numFmtId="14" fontId="0" fillId="0" borderId="5" xfId="0" applyNumberFormat="1" applyBorder="1"/>
    <xf numFmtId="0" fontId="0" fillId="0" borderId="10" xfId="0" applyBorder="1"/>
    <xf numFmtId="0" fontId="0" fillId="0" borderId="6" xfId="0" applyFont="1" applyBorder="1"/>
    <xf numFmtId="0" fontId="0" fillId="0" borderId="5" xfId="0" applyFont="1" applyBorder="1"/>
    <xf numFmtId="0" fontId="1" fillId="0" borderId="11" xfId="0" applyFont="1" applyBorder="1"/>
    <xf numFmtId="0" fontId="1" fillId="0" borderId="12"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1" xfId="0" applyBorder="1"/>
    <xf numFmtId="0" fontId="0" fillId="0" borderId="12" xfId="0" applyBorder="1"/>
    <xf numFmtId="0" fontId="1" fillId="0" borderId="17" xfId="0" applyFont="1" applyBorder="1"/>
    <xf numFmtId="0" fontId="0" fillId="0" borderId="0" xfId="0" applyBorder="1"/>
    <xf numFmtId="0" fontId="0" fillId="0" borderId="18" xfId="0" applyBorder="1"/>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11" xfId="0" applyFont="1" applyBorder="1" applyAlignment="1">
      <alignment horizontal="center"/>
    </xf>
    <xf numFmtId="0" fontId="1" fillId="0" borderId="12" xfId="0" applyFont="1" applyBorder="1" applyAlignment="1">
      <alignment horizontal="center"/>
    </xf>
    <xf numFmtId="0" fontId="0" fillId="0" borderId="13" xfId="0" applyBorder="1"/>
    <xf numFmtId="0" fontId="0" fillId="0" borderId="0" xfId="0" applyBorder="1"/>
    <xf numFmtId="0" fontId="0" fillId="0" borderId="14" xfId="0" applyBorder="1"/>
    <xf numFmtId="0" fontId="0" fillId="0" borderId="15" xfId="0" applyBorder="1"/>
    <xf numFmtId="0" fontId="0" fillId="0" borderId="18" xfId="0" applyBorder="1"/>
    <xf numFmtId="0" fontId="0" fillId="0" borderId="16" xfId="0" applyBorder="1"/>
    <xf numFmtId="0" fontId="0" fillId="0" borderId="13" xfId="0" applyBorder="1" applyAlignment="1">
      <alignment horizontal="center" vertical="center"/>
    </xf>
    <xf numFmtId="0" fontId="0" fillId="0" borderId="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3" fillId="0" borderId="11" xfId="0" applyFont="1" applyBorder="1" applyAlignment="1">
      <alignment horizontal="center"/>
    </xf>
    <xf numFmtId="0" fontId="3" fillId="0" borderId="17"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0" xfId="0" applyFont="1" applyBorder="1" applyAlignment="1">
      <alignment horizontal="center"/>
    </xf>
    <xf numFmtId="0" fontId="3" fillId="0" borderId="14" xfId="0" applyFont="1" applyBorder="1" applyAlignment="1">
      <alignment horizontal="center"/>
    </xf>
    <xf numFmtId="0" fontId="0" fillId="0" borderId="0" xfId="0" applyBorder="1" applyAlignment="1">
      <alignment vertical="top"/>
    </xf>
    <xf numFmtId="0" fontId="1" fillId="0" borderId="11" xfId="0" applyFont="1" applyBorder="1"/>
    <xf numFmtId="0" fontId="1" fillId="0" borderId="17" xfId="0" applyFont="1" applyBorder="1"/>
    <xf numFmtId="0" fontId="1" fillId="0" borderId="12" xfId="0" applyFont="1" applyBorder="1"/>
    <xf numFmtId="0" fontId="4" fillId="0" borderId="11" xfId="0" applyFont="1" applyBorder="1" applyAlignment="1">
      <alignment horizontal="center" vertical="center"/>
    </xf>
    <xf numFmtId="0" fontId="4" fillId="0" borderId="17"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0" xfId="0" applyFont="1" applyBorder="1" applyAlignment="1">
      <alignment horizontal="center" vertical="center"/>
    </xf>
    <xf numFmtId="0" fontId="4" fillId="0" borderId="14" xfId="0" applyFont="1" applyBorder="1" applyAlignment="1">
      <alignment horizontal="center" vertical="center"/>
    </xf>
    <xf numFmtId="0" fontId="5" fillId="0" borderId="13" xfId="0" applyFont="1" applyBorder="1" applyAlignment="1">
      <alignment horizontal="center"/>
    </xf>
    <xf numFmtId="0" fontId="5" fillId="0" borderId="0" xfId="0" applyFont="1" applyBorder="1" applyAlignment="1">
      <alignment horizontal="center"/>
    </xf>
    <xf numFmtId="0" fontId="5" fillId="0" borderId="14" xfId="0" applyFont="1" applyBorder="1" applyAlignment="1">
      <alignment horizontal="center"/>
    </xf>
    <xf numFmtId="0" fontId="6" fillId="0" borderId="15" xfId="0" applyFont="1" applyBorder="1" applyAlignment="1">
      <alignment vertical="top"/>
    </xf>
    <xf numFmtId="0" fontId="6" fillId="0" borderId="18" xfId="0" applyFont="1" applyBorder="1" applyAlignment="1">
      <alignment vertical="top"/>
    </xf>
    <xf numFmtId="0" fontId="6" fillId="0" borderId="16" xfId="0" applyFont="1" applyBorder="1" applyAlignment="1">
      <alignment vertical="top"/>
    </xf>
    <xf numFmtId="0" fontId="2" fillId="0" borderId="0" xfId="0" applyFont="1" applyAlignment="1">
      <alignment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22" xfId="0" applyFont="1" applyFill="1" applyBorder="1" applyAlignment="1">
      <alignment horizontal="center" vertical="center"/>
    </xf>
    <xf numFmtId="0" fontId="1" fillId="0" borderId="20" xfId="0" applyFont="1" applyBorder="1"/>
    <xf numFmtId="0" fontId="1" fillId="0" borderId="21" xfId="0" applyFont="1" applyBorder="1"/>
    <xf numFmtId="0" fontId="1" fillId="0" borderId="22" xfId="0" applyFont="1" applyBorder="1"/>
    <xf numFmtId="0" fontId="9" fillId="0" borderId="11" xfId="0" applyFont="1" applyBorder="1" applyAlignment="1">
      <alignment vertical="center" wrapText="1"/>
    </xf>
    <xf numFmtId="0" fontId="9" fillId="0" borderId="17" xfId="0" applyFont="1" applyBorder="1" applyAlignment="1">
      <alignment vertical="center" wrapText="1"/>
    </xf>
    <xf numFmtId="0" fontId="9" fillId="0" borderId="12" xfId="0" applyFont="1" applyBorder="1" applyAlignment="1">
      <alignment vertical="center" wrapText="1"/>
    </xf>
    <xf numFmtId="0" fontId="9" fillId="0" borderId="13" xfId="0" applyFont="1" applyBorder="1" applyAlignment="1">
      <alignment vertical="center" wrapText="1"/>
    </xf>
    <xf numFmtId="0" fontId="9" fillId="0" borderId="0" xfId="0" applyFont="1" applyBorder="1" applyAlignment="1">
      <alignment vertical="center" wrapText="1"/>
    </xf>
    <xf numFmtId="0" fontId="9" fillId="0" borderId="14" xfId="0" applyFont="1" applyBorder="1" applyAlignment="1">
      <alignment vertical="center" wrapText="1"/>
    </xf>
    <xf numFmtId="0" fontId="9" fillId="0" borderId="15" xfId="0" applyFont="1" applyBorder="1" applyAlignment="1">
      <alignment vertical="center" wrapText="1"/>
    </xf>
    <xf numFmtId="0" fontId="9" fillId="0" borderId="18" xfId="0" applyFont="1" applyBorder="1" applyAlignment="1">
      <alignment vertical="center" wrapText="1"/>
    </xf>
    <xf numFmtId="0" fontId="9" fillId="0" borderId="16" xfId="0" applyFont="1" applyBorder="1" applyAlignment="1">
      <alignment vertical="center" wrapText="1"/>
    </xf>
    <xf numFmtId="0" fontId="9" fillId="0" borderId="11" xfId="0" applyFont="1" applyBorder="1" applyAlignment="1">
      <alignment horizontal="left" vertical="center" wrapText="1"/>
    </xf>
    <xf numFmtId="0" fontId="9" fillId="0" borderId="17" xfId="0" applyFont="1" applyBorder="1" applyAlignment="1">
      <alignment horizontal="left" vertical="center" wrapText="1"/>
    </xf>
    <xf numFmtId="0" fontId="9" fillId="0" borderId="12" xfId="0" applyFont="1" applyBorder="1" applyAlignment="1">
      <alignment horizontal="left" vertical="center" wrapText="1"/>
    </xf>
    <xf numFmtId="0" fontId="8" fillId="0" borderId="13" xfId="0" applyFont="1" applyBorder="1"/>
    <xf numFmtId="0" fontId="8" fillId="0" borderId="0" xfId="0" applyFont="1" applyBorder="1"/>
    <xf numFmtId="0" fontId="8" fillId="0" borderId="14" xfId="0" applyFont="1" applyBorder="1"/>
    <xf numFmtId="0" fontId="9" fillId="0" borderId="13" xfId="0" applyFont="1" applyBorder="1" applyAlignment="1">
      <alignment horizontal="left" vertical="center" wrapText="1"/>
    </xf>
    <xf numFmtId="0" fontId="9" fillId="0" borderId="0"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18" xfId="0" applyFont="1" applyBorder="1" applyAlignment="1">
      <alignment horizontal="left" vertical="center" wrapText="1"/>
    </xf>
    <xf numFmtId="0" fontId="9" fillId="0" borderId="16" xfId="0" applyFont="1" applyBorder="1" applyAlignment="1">
      <alignment horizontal="left" vertical="center" wrapText="1"/>
    </xf>
    <xf numFmtId="0" fontId="1" fillId="0" borderId="2" xfId="0" applyFont="1" applyBorder="1"/>
    <xf numFmtId="0" fontId="0" fillId="0" borderId="19" xfId="0" applyBorder="1"/>
    <xf numFmtId="0" fontId="0" fillId="0" borderId="23" xfId="0" applyBorder="1"/>
    <xf numFmtId="0" fontId="0" fillId="0" borderId="17" xfId="0" applyBorder="1"/>
    <xf numFmtId="0" fontId="0" fillId="0" borderId="11" xfId="0" applyBorder="1"/>
    <xf numFmtId="0" fontId="0" fillId="0" borderId="12" xfId="0" applyBorder="1"/>
    <xf numFmtId="0" fontId="0" fillId="0" borderId="19" xfId="0" applyBorder="1" applyAlignment="1">
      <alignment horizontal="center" vertical="center"/>
    </xf>
    <xf numFmtId="0" fontId="0" fillId="0" borderId="23" xfId="0" applyBorder="1" applyAlignment="1">
      <alignment horizontal="center" vertical="center"/>
    </xf>
    <xf numFmtId="0" fontId="0" fillId="0" borderId="0"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8" xfId="0" applyBorder="1" applyAlignment="1">
      <alignment horizontal="left" vertical="top" wrapText="1"/>
    </xf>
    <xf numFmtId="0" fontId="0" fillId="0" borderId="16" xfId="0" applyBorder="1" applyAlignment="1">
      <alignment horizontal="left" vertical="top" wrapText="1"/>
    </xf>
    <xf numFmtId="0" fontId="1" fillId="0" borderId="15" xfId="0" applyFont="1" applyBorder="1"/>
    <xf numFmtId="0" fontId="1" fillId="0" borderId="18" xfId="0" applyFont="1" applyBorder="1"/>
    <xf numFmtId="0" fontId="1" fillId="0" borderId="16" xfId="0" applyFont="1" applyBorder="1"/>
  </cellXfs>
  <cellStyles count="1">
    <cellStyle name="Normal" xfId="0" builtinId="0"/>
  </cellStyles>
  <dxfs count="74">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top style="thin">
          <color indexed="64"/>
        </top>
        <bottom/>
      </border>
    </dxf>
    <dxf>
      <numFmt numFmtId="19" formatCode="dd/mm/yyyy"/>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19" formatCode="dd/mm/yyyy"/>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Enrollment Readiness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pivot_analysis!$B$2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pivot_analysis!$A$3:$A$6</c:f>
              <c:strCache>
                <c:ptCount val="3"/>
                <c:pt idx="0">
                  <c:v>Blocked</c:v>
                </c:pt>
                <c:pt idx="1">
                  <c:v>Pending</c:v>
                </c:pt>
                <c:pt idx="2">
                  <c:v>Ready</c:v>
                </c:pt>
              </c:strCache>
            </c:strRef>
          </c:cat>
          <c:val>
            <c:numRef>
              <c:f>pivot_analysis!$B$3:$B$6</c:f>
              <c:numCache>
                <c:formatCode>General</c:formatCode>
                <c:ptCount val="3"/>
                <c:pt idx="0">
                  <c:v>9</c:v>
                </c:pt>
                <c:pt idx="1">
                  <c:v>9</c:v>
                </c:pt>
                <c:pt idx="2">
                  <c:v>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Enrollment Blockers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809255188905926"/>
          <c:y val="0.21683079397477167"/>
          <c:w val="0.48814105697515792"/>
          <c:h val="0.6475504730024273"/>
        </c:manualLayout>
      </c:layout>
      <c:bar3DChart>
        <c:barDir val="bar"/>
        <c:grouping val="clustered"/>
        <c:varyColors val="0"/>
        <c:ser>
          <c:idx val="0"/>
          <c:order val="0"/>
          <c:tx>
            <c:strRef>
              <c:f>pivot_analysis!$H$26</c:f>
              <c:strCache>
                <c:ptCount val="1"/>
                <c:pt idx="0">
                  <c:v>Total</c:v>
                </c:pt>
              </c:strCache>
            </c:strRef>
          </c:tx>
          <c:spPr>
            <a:solidFill>
              <a:schemeClr val="accent1"/>
            </a:solidFill>
            <a:ln>
              <a:noFill/>
            </a:ln>
            <a:effectLst/>
            <a:sp3d/>
          </c:spPr>
          <c:invertIfNegative val="0"/>
          <c:cat>
            <c:strRef>
              <c:f>pivot_analysis!$G$27:$G$38</c:f>
              <c:strCache>
                <c:ptCount val="11"/>
                <c:pt idx="0">
                  <c:v>Clearinghouse portal not updated</c:v>
                </c:pt>
                <c:pt idx="1">
                  <c:v>Individual NPI used instead of Group NPI</c:v>
                </c:pt>
                <c:pt idx="2">
                  <c:v>Incorrect PTAN/Provider number</c:v>
                </c:pt>
                <c:pt idx="3">
                  <c:v>Credentialing not completed</c:v>
                </c:pt>
                <c:pt idx="4">
                  <c:v>Credentialed NPI mismatch</c:v>
                </c:pt>
                <c:pt idx="5">
                  <c:v>Missing payer approval</c:v>
                </c:pt>
                <c:pt idx="6">
                  <c:v>Wrong Payer ID</c:v>
                </c:pt>
                <c:pt idx="7">
                  <c:v>Old Payer ID used</c:v>
                </c:pt>
                <c:pt idx="8">
                  <c:v>ERA Setup not completed</c:v>
                </c:pt>
                <c:pt idx="9">
                  <c:v>Medicare additional enrollment missing</c:v>
                </c:pt>
                <c:pt idx="10">
                  <c:v>Medicaid additional enrollment is missing</c:v>
                </c:pt>
              </c:strCache>
            </c:strRef>
          </c:cat>
          <c:val>
            <c:numRef>
              <c:f>pivot_analysis!$H$27:$H$38</c:f>
              <c:numCache>
                <c:formatCode>General</c:formatCode>
                <c:ptCount val="11"/>
                <c:pt idx="0">
                  <c:v>3</c:v>
                </c:pt>
                <c:pt idx="1">
                  <c:v>3</c:v>
                </c:pt>
                <c:pt idx="2">
                  <c:v>2</c:v>
                </c:pt>
                <c:pt idx="3">
                  <c:v>2</c:v>
                </c:pt>
                <c:pt idx="4">
                  <c:v>2</c:v>
                </c:pt>
                <c:pt idx="5">
                  <c:v>1</c:v>
                </c:pt>
                <c:pt idx="6">
                  <c:v>1</c:v>
                </c:pt>
                <c:pt idx="7">
                  <c:v>1</c:v>
                </c:pt>
                <c:pt idx="8">
                  <c:v>1</c:v>
                </c:pt>
                <c:pt idx="9">
                  <c:v>1</c:v>
                </c:pt>
                <c:pt idx="10">
                  <c:v>1</c:v>
                </c:pt>
              </c:numCache>
            </c:numRef>
          </c:val>
        </c:ser>
        <c:dLbls>
          <c:showLegendKey val="0"/>
          <c:showVal val="0"/>
          <c:showCatName val="0"/>
          <c:showSerName val="0"/>
          <c:showPercent val="0"/>
          <c:showBubbleSize val="0"/>
        </c:dLbls>
        <c:gapWidth val="150"/>
        <c:shape val="box"/>
        <c:axId val="38582480"/>
        <c:axId val="38580912"/>
        <c:axId val="0"/>
      </c:bar3DChart>
      <c:catAx>
        <c:axId val="3858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0912"/>
        <c:crosses val="autoZero"/>
        <c:auto val="1"/>
        <c:lblAlgn val="ctr"/>
        <c:lblOffset val="100"/>
        <c:noMultiLvlLbl val="0"/>
      </c:catAx>
      <c:valAx>
        <c:axId val="3858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Records By Payer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a:sp3d/>
        </c:spPr>
        <c:marker>
          <c:symbol val="none"/>
        </c:marker>
      </c:pivotFmt>
    </c:pivotFmts>
    <c:plotArea>
      <c:layout/>
      <c:barChart>
        <c:barDir val="bar"/>
        <c:grouping val="stacked"/>
        <c:varyColors val="0"/>
        <c:ser>
          <c:idx val="0"/>
          <c:order val="0"/>
          <c:tx>
            <c:strRef>
              <c:f>pivot_analysis!$E$2:$E$3</c:f>
              <c:strCache>
                <c:ptCount val="1"/>
                <c:pt idx="0">
                  <c:v>Blocked</c:v>
                </c:pt>
              </c:strCache>
            </c:strRef>
          </c:tx>
          <c:spPr>
            <a:solidFill>
              <a:schemeClr val="accent1"/>
            </a:solidFill>
            <a:ln>
              <a:noFill/>
            </a:ln>
            <a:effectLst/>
          </c:spPr>
          <c:invertIfNegative val="0"/>
          <c:cat>
            <c:strRef>
              <c:f>pivot_analysis!$D$4:$D$10</c:f>
              <c:strCache>
                <c:ptCount val="6"/>
                <c:pt idx="0">
                  <c:v>Blue Cross</c:v>
                </c:pt>
                <c:pt idx="1">
                  <c:v>Cigna</c:v>
                </c:pt>
                <c:pt idx="2">
                  <c:v>Humana</c:v>
                </c:pt>
                <c:pt idx="3">
                  <c:v>Medicaid</c:v>
                </c:pt>
                <c:pt idx="4">
                  <c:v>Medicare</c:v>
                </c:pt>
                <c:pt idx="5">
                  <c:v>United Healthacare</c:v>
                </c:pt>
              </c:strCache>
            </c:strRef>
          </c:cat>
          <c:val>
            <c:numRef>
              <c:f>pivot_analysis!$E$4:$E$10</c:f>
              <c:numCache>
                <c:formatCode>General</c:formatCode>
                <c:ptCount val="6"/>
                <c:pt idx="0">
                  <c:v>1</c:v>
                </c:pt>
                <c:pt idx="1">
                  <c:v>1</c:v>
                </c:pt>
                <c:pt idx="2">
                  <c:v>1</c:v>
                </c:pt>
                <c:pt idx="3">
                  <c:v>2</c:v>
                </c:pt>
                <c:pt idx="4">
                  <c:v>2</c:v>
                </c:pt>
                <c:pt idx="5">
                  <c:v>2</c:v>
                </c:pt>
              </c:numCache>
            </c:numRef>
          </c:val>
        </c:ser>
        <c:dLbls>
          <c:showLegendKey val="0"/>
          <c:showVal val="0"/>
          <c:showCatName val="0"/>
          <c:showSerName val="0"/>
          <c:showPercent val="0"/>
          <c:showBubbleSize val="0"/>
        </c:dLbls>
        <c:gapWidth val="150"/>
        <c:overlap val="100"/>
        <c:axId val="523371840"/>
        <c:axId val="523371448"/>
      </c:barChart>
      <c:catAx>
        <c:axId val="52337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71448"/>
        <c:crosses val="autoZero"/>
        <c:auto val="1"/>
        <c:lblAlgn val="ctr"/>
        <c:lblOffset val="100"/>
        <c:noMultiLvlLbl val="0"/>
      </c:catAx>
      <c:valAx>
        <c:axId val="523371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71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Breaches by Payer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a:sp3d/>
        </c:spPr>
        <c:marker>
          <c:symbol val="none"/>
        </c:marker>
      </c:pivotFmt>
    </c:pivotFmts>
    <c:plotArea>
      <c:layout/>
      <c:barChart>
        <c:barDir val="bar"/>
        <c:grouping val="clustered"/>
        <c:varyColors val="0"/>
        <c:ser>
          <c:idx val="0"/>
          <c:order val="0"/>
          <c:tx>
            <c:strRef>
              <c:f>pivot_analysis!$E$14:$E$15</c:f>
              <c:strCache>
                <c:ptCount val="1"/>
                <c:pt idx="0">
                  <c:v>SLA Breached</c:v>
                </c:pt>
              </c:strCache>
            </c:strRef>
          </c:tx>
          <c:spPr>
            <a:solidFill>
              <a:schemeClr val="accent1"/>
            </a:solidFill>
            <a:ln>
              <a:noFill/>
            </a:ln>
            <a:effectLst/>
          </c:spPr>
          <c:invertIfNegative val="0"/>
          <c:cat>
            <c:strRef>
              <c:f>pivot_analysis!$D$16:$D$23</c:f>
              <c:strCache>
                <c:ptCount val="7"/>
                <c:pt idx="0">
                  <c:v>Aetna</c:v>
                </c:pt>
                <c:pt idx="1">
                  <c:v>Blue Cross</c:v>
                </c:pt>
                <c:pt idx="2">
                  <c:v>Cigna</c:v>
                </c:pt>
                <c:pt idx="3">
                  <c:v>Humana</c:v>
                </c:pt>
                <c:pt idx="4">
                  <c:v>Medicaid</c:v>
                </c:pt>
                <c:pt idx="5">
                  <c:v>Medicare</c:v>
                </c:pt>
                <c:pt idx="6">
                  <c:v>United Healthacare</c:v>
                </c:pt>
              </c:strCache>
            </c:strRef>
          </c:cat>
          <c:val>
            <c:numRef>
              <c:f>pivot_analysis!$E$16:$E$23</c:f>
              <c:numCache>
                <c:formatCode>General</c:formatCode>
                <c:ptCount val="7"/>
                <c:pt idx="0">
                  <c:v>1</c:v>
                </c:pt>
                <c:pt idx="1">
                  <c:v>2</c:v>
                </c:pt>
                <c:pt idx="2">
                  <c:v>2</c:v>
                </c:pt>
                <c:pt idx="3">
                  <c:v>2</c:v>
                </c:pt>
                <c:pt idx="4">
                  <c:v>2</c:v>
                </c:pt>
                <c:pt idx="5">
                  <c:v>2</c:v>
                </c:pt>
                <c:pt idx="6">
                  <c:v>2</c:v>
                </c:pt>
              </c:numCache>
            </c:numRef>
          </c:val>
        </c:ser>
        <c:dLbls>
          <c:showLegendKey val="0"/>
          <c:showVal val="0"/>
          <c:showCatName val="0"/>
          <c:showSerName val="0"/>
          <c:showPercent val="0"/>
          <c:showBubbleSize val="0"/>
        </c:dLbls>
        <c:gapWidth val="150"/>
        <c:axId val="324054784"/>
        <c:axId val="413956960"/>
      </c:barChart>
      <c:catAx>
        <c:axId val="32405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56960"/>
        <c:crosses val="autoZero"/>
        <c:auto val="1"/>
        <c:lblAlgn val="ctr"/>
        <c:lblOffset val="100"/>
        <c:noMultiLvlLbl val="0"/>
      </c:catAx>
      <c:valAx>
        <c:axId val="413956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54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Claims Vs ERA Readiness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summary_metrics!$D$13:$D$15</c:f>
              <c:strCache>
                <c:ptCount val="3"/>
                <c:pt idx="0">
                  <c:v>Readiness Type</c:v>
                </c:pt>
                <c:pt idx="1">
                  <c:v>Claims Ready</c:v>
                </c:pt>
                <c:pt idx="2">
                  <c:v>ERA Ready </c:v>
                </c:pt>
              </c:strCache>
            </c:strRef>
          </c:cat>
          <c:val>
            <c:numRef>
              <c:f>summary_metrics!$E$13:$E$15</c:f>
              <c:numCache>
                <c:formatCode>General</c:formatCode>
                <c:ptCount val="3"/>
                <c:pt idx="1">
                  <c:v>6</c:v>
                </c:pt>
                <c:pt idx="2">
                  <c:v>4</c:v>
                </c:pt>
              </c:numCache>
            </c:numRef>
          </c:val>
        </c:ser>
        <c:dLbls>
          <c:showLegendKey val="0"/>
          <c:showVal val="0"/>
          <c:showCatName val="0"/>
          <c:showSerName val="0"/>
          <c:showPercent val="0"/>
          <c:showBubbleSize val="0"/>
        </c:dLbls>
        <c:gapWidth val="150"/>
        <c:overlap val="100"/>
        <c:axId val="523360848"/>
        <c:axId val="523359280"/>
      </c:barChart>
      <c:catAx>
        <c:axId val="52336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59280"/>
        <c:crosses val="autoZero"/>
        <c:auto val="1"/>
        <c:lblAlgn val="ctr"/>
        <c:lblOffset val="100"/>
        <c:noMultiLvlLbl val="0"/>
      </c:catAx>
      <c:valAx>
        <c:axId val="52335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6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Action Required Records</a:t>
            </a:r>
            <a:r>
              <a:rPr lang="en-US" baseline="0"/>
              <a:t> </a:t>
            </a:r>
            <a:r>
              <a:rPr lang="en-US"/>
              <a:t>by Owner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sp3d/>
        </c:spPr>
        <c:marker>
          <c:symbol val="none"/>
        </c:marker>
      </c:pivotFmt>
    </c:pivotFmts>
    <c:plotArea>
      <c:layout/>
      <c:barChart>
        <c:barDir val="bar"/>
        <c:grouping val="stacked"/>
        <c:varyColors val="0"/>
        <c:ser>
          <c:idx val="0"/>
          <c:order val="0"/>
          <c:tx>
            <c:strRef>
              <c:f>pivot_analysis!$B$26:$B$27</c:f>
              <c:strCache>
                <c:ptCount val="1"/>
                <c:pt idx="0">
                  <c:v>Blocked</c:v>
                </c:pt>
              </c:strCache>
            </c:strRef>
          </c:tx>
          <c:spPr>
            <a:solidFill>
              <a:schemeClr val="accent1"/>
            </a:solidFill>
            <a:ln>
              <a:noFill/>
            </a:ln>
            <a:effectLst/>
          </c:spPr>
          <c:invertIfNegative val="0"/>
          <c:cat>
            <c:strRef>
              <c:f>pivot_analysis!$A$28:$A$31</c:f>
              <c:strCache>
                <c:ptCount val="3"/>
                <c:pt idx="0">
                  <c:v>Js19731</c:v>
                </c:pt>
                <c:pt idx="1">
                  <c:v>NC00234</c:v>
                </c:pt>
                <c:pt idx="2">
                  <c:v>Nt92346</c:v>
                </c:pt>
              </c:strCache>
            </c:strRef>
          </c:cat>
          <c:val>
            <c:numRef>
              <c:f>pivot_analysis!$B$28:$B$31</c:f>
              <c:numCache>
                <c:formatCode>General</c:formatCode>
                <c:ptCount val="3"/>
                <c:pt idx="0">
                  <c:v>4</c:v>
                </c:pt>
                <c:pt idx="1">
                  <c:v>2</c:v>
                </c:pt>
                <c:pt idx="2">
                  <c:v>3</c:v>
                </c:pt>
              </c:numCache>
            </c:numRef>
          </c:val>
        </c:ser>
        <c:ser>
          <c:idx val="1"/>
          <c:order val="1"/>
          <c:tx>
            <c:strRef>
              <c:f>pivot_analysis!$C$26:$C$27</c:f>
              <c:strCache>
                <c:ptCount val="1"/>
                <c:pt idx="0">
                  <c:v>Pending</c:v>
                </c:pt>
              </c:strCache>
            </c:strRef>
          </c:tx>
          <c:spPr>
            <a:solidFill>
              <a:schemeClr val="accent2"/>
            </a:solidFill>
            <a:ln>
              <a:noFill/>
            </a:ln>
            <a:effectLst/>
          </c:spPr>
          <c:invertIfNegative val="0"/>
          <c:cat>
            <c:strRef>
              <c:f>pivot_analysis!$A$28:$A$31</c:f>
              <c:strCache>
                <c:ptCount val="3"/>
                <c:pt idx="0">
                  <c:v>Js19731</c:v>
                </c:pt>
                <c:pt idx="1">
                  <c:v>NC00234</c:v>
                </c:pt>
                <c:pt idx="2">
                  <c:v>Nt92346</c:v>
                </c:pt>
              </c:strCache>
            </c:strRef>
          </c:cat>
          <c:val>
            <c:numRef>
              <c:f>pivot_analysis!$C$28:$C$31</c:f>
              <c:numCache>
                <c:formatCode>General</c:formatCode>
                <c:ptCount val="3"/>
                <c:pt idx="0">
                  <c:v>2</c:v>
                </c:pt>
                <c:pt idx="1">
                  <c:v>3</c:v>
                </c:pt>
                <c:pt idx="2">
                  <c:v>4</c:v>
                </c:pt>
              </c:numCache>
            </c:numRef>
          </c:val>
        </c:ser>
        <c:dLbls>
          <c:showLegendKey val="0"/>
          <c:showVal val="0"/>
          <c:showCatName val="0"/>
          <c:showSerName val="0"/>
          <c:showPercent val="0"/>
          <c:showBubbleSize val="0"/>
        </c:dLbls>
        <c:gapWidth val="150"/>
        <c:overlap val="100"/>
        <c:axId val="438048264"/>
        <c:axId val="438047480"/>
      </c:barChart>
      <c:catAx>
        <c:axId val="438048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47480"/>
        <c:crosses val="autoZero"/>
        <c:auto val="1"/>
        <c:lblAlgn val="ctr"/>
        <c:lblOffset val="100"/>
        <c:noMultiLvlLbl val="0"/>
      </c:catAx>
      <c:valAx>
        <c:axId val="438047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48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370417</xdr:colOff>
      <xdr:row>28</xdr:row>
      <xdr:rowOff>143774</xdr:rowOff>
    </xdr:to>
    <xdr:graphicFrame macro="">
      <xdr:nvGraphicFramePr>
        <xdr:cNvPr id="4" name="EnrollmentReadines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396876</xdr:colOff>
      <xdr:row>17</xdr:row>
      <xdr:rowOff>0</xdr:rowOff>
    </xdr:from>
    <xdr:to>
      <xdr:col>14</xdr:col>
      <xdr:colOff>13229</xdr:colOff>
      <xdr:row>28</xdr:row>
      <xdr:rowOff>135107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23961</xdr:colOff>
      <xdr:row>29</xdr:row>
      <xdr:rowOff>11982</xdr:rowOff>
    </xdr:from>
    <xdr:to>
      <xdr:col>7</xdr:col>
      <xdr:colOff>60798</xdr:colOff>
      <xdr:row>41</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121596</xdr:colOff>
      <xdr:row>29</xdr:row>
      <xdr:rowOff>20266</xdr:rowOff>
    </xdr:from>
    <xdr:to>
      <xdr:col>13</xdr:col>
      <xdr:colOff>587712</xdr:colOff>
      <xdr:row>41</xdr:row>
      <xdr:rowOff>11981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20903</xdr:colOff>
      <xdr:row>41</xdr:row>
      <xdr:rowOff>22433</xdr:rowOff>
    </xdr:from>
    <xdr:to>
      <xdr:col>7</xdr:col>
      <xdr:colOff>60798</xdr:colOff>
      <xdr:row>52</xdr:row>
      <xdr:rowOff>70358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121596</xdr:colOff>
      <xdr:row>41</xdr:row>
      <xdr:rowOff>47288</xdr:rowOff>
    </xdr:from>
    <xdr:to>
      <xdr:col>14</xdr:col>
      <xdr:colOff>0</xdr:colOff>
      <xdr:row>52</xdr:row>
      <xdr:rowOff>67553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WORLD\OneDrive\Desktop\Healthcare-analytics-portfolio\01_enrollment_tracker_excel\dataset\sample_enrollment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77.928519560184" createdVersion="5" refreshedVersion="5" minRefreshableVersion="3" recordCount="25">
  <cacheSource type="worksheet">
    <worksheetSource name="tblEnrollment" r:id="rId2"/>
  </cacheSource>
  <cacheFields count="35">
    <cacheField name="Record_ID" numFmtId="0">
      <sharedItems/>
    </cacheField>
    <cacheField name="Practice Name" numFmtId="0">
      <sharedItems/>
    </cacheField>
    <cacheField name="Provider Name" numFmtId="0">
      <sharedItems/>
    </cacheField>
    <cacheField name="Individual NPI" numFmtId="0">
      <sharedItems/>
    </cacheField>
    <cacheField name="Group NPI" numFmtId="0">
      <sharedItems/>
    </cacheField>
    <cacheField name="Credentialed NPI" numFmtId="0">
      <sharedItems/>
    </cacheField>
    <cacheField name="Enrolled NPI" numFmtId="0">
      <sharedItems/>
    </cacheField>
    <cacheField name="Tax ID" numFmtId="0">
      <sharedItems/>
    </cacheField>
    <cacheField name="Payer Name" numFmtId="0">
      <sharedItems count="7">
        <s v="Medicare"/>
        <s v="Blue Cross"/>
        <s v="Medicaid"/>
        <s v="Aetna"/>
        <s v="United Healthacare"/>
        <s v="Cigna"/>
        <s v="Humana"/>
      </sharedItems>
    </cacheField>
    <cacheField name="Payer ID" numFmtId="0">
      <sharedItems/>
    </cacheField>
    <cacheField name="Payer Type" numFmtId="0">
      <sharedItems/>
    </cacheField>
    <cacheField name="PTAN/Provider number" numFmtId="0">
      <sharedItems/>
    </cacheField>
    <cacheField name="Enrollment Type " numFmtId="0">
      <sharedItems count="3">
        <s v="Claims and ERA"/>
        <s v="Claims"/>
        <s v="ERA"/>
      </sharedItems>
    </cacheField>
    <cacheField name="Credentialing status" numFmtId="0">
      <sharedItems/>
    </cacheField>
    <cacheField name="Claims_Enrollment_Status" numFmtId="0">
      <sharedItems/>
    </cacheField>
    <cacheField name="ERA Enrollment Status" numFmtId="0">
      <sharedItems/>
    </cacheField>
    <cacheField name="EEP updated?" numFmtId="0">
      <sharedItems/>
    </cacheField>
    <cacheField name="EEP Status" numFmtId="0">
      <sharedItems/>
    </cacheField>
    <cacheField name="Submitted Date" numFmtId="14">
      <sharedItems containsSemiMixedTypes="0" containsNonDate="0" containsDate="1" containsString="0" minDate="2026-03-28T00:00:00" maxDate="2026-05-23T00:00:00"/>
    </cacheField>
    <cacheField name="Approved date" numFmtId="0">
      <sharedItems containsNonDate="0" containsDate="1" containsString="0" containsBlank="1" minDate="2026-04-12T00:00:00" maxDate="2026-05-17T00:00:00"/>
    </cacheField>
    <cacheField name="Current Status" numFmtId="0">
      <sharedItems count="3">
        <s v="Ready"/>
        <s v="Pending"/>
        <s v="Blocked"/>
      </sharedItems>
    </cacheField>
    <cacheField name="Blocked reason" numFmtId="0">
      <sharedItems count="12">
        <s v="No Blocker"/>
        <s v="Individual NPI used instead of Group NPI"/>
        <s v="Medicaid additional enrollment is missing"/>
        <s v="Clearinghouse portal not updated"/>
        <s v="Credentialed NPI mismatch"/>
        <s v="Incorrect PTAN/Provider number"/>
        <s v="Old Payer ID used"/>
        <s v="Credentialing not completed"/>
        <s v="Missing payer approval"/>
        <s v="ERA Setup not completed"/>
        <s v="Wrong Payer ID"/>
        <s v="Medicare additional enrollment missing"/>
      </sharedItems>
    </cacheField>
    <cacheField name="Assigned Owner" numFmtId="0">
      <sharedItems count="4">
        <s v="Nt92346"/>
        <s v="NC00234"/>
        <s v="Js19731"/>
        <s v="ns" u="1"/>
      </sharedItems>
    </cacheField>
    <cacheField name="Follow-up Date" numFmtId="14">
      <sharedItems containsSemiMixedTypes="0" containsNonDate="0" containsDate="1" containsString="0" minDate="2026-06-03T00:00:00" maxDate="2026-06-12T00:00:00"/>
    </cacheField>
    <cacheField name="Notes" numFmtId="0">
      <sharedItems/>
    </cacheField>
    <cacheField name="Aging Days" numFmtId="0">
      <sharedItems containsSemiMixedTypes="0" containsString="0" containsNumber="1" containsInteger="1" minValue="12" maxValue="47"/>
    </cacheField>
    <cacheField name="SLA Status" numFmtId="0">
      <sharedItems count="3">
        <s v="Completed"/>
        <s v="SLA Breached"/>
        <s v="Within SLA"/>
      </sharedItems>
    </cacheField>
    <cacheField name="NPI Match Status" numFmtId="0">
      <sharedItems/>
    </cacheField>
    <cacheField name="Provider Identifier Issue Flag" numFmtId="0">
      <sharedItems/>
    </cacheField>
    <cacheField name="Payer Routing issue Flag" numFmtId="0">
      <sharedItems/>
    </cacheField>
    <cacheField name="Clearinghouse gap Flag" numFmtId="0">
      <sharedItems/>
    </cacheField>
    <cacheField name="Government Payer Issue Flag" numFmtId="0">
      <sharedItems/>
    </cacheField>
    <cacheField name="Claims Ready Flag" numFmtId="0">
      <sharedItems count="3">
        <s v="Ready"/>
        <s v="Not Ready"/>
        <s v="Not Applicable"/>
      </sharedItems>
    </cacheField>
    <cacheField name="ERA Ready Flag" numFmtId="0">
      <sharedItems count="3">
        <s v="Ready"/>
        <s v="Not Applicable"/>
        <s v="Not Ready"/>
      </sharedItems>
    </cacheField>
    <cacheField name="Action Required Flag"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
  <r>
    <s v="ENR-001"/>
    <s v="River Valley Family Care"/>
    <s v="Dr. JIM Fitz"/>
    <s v="IND-NPI-1001"/>
    <s v="GRP-NPI-9001"/>
    <s v="GRP-NPI-9001"/>
    <s v="GRP-NPI-9001"/>
    <s v="SYN-TIN-001"/>
    <x v="0"/>
    <s v="MED01"/>
    <s v="Government"/>
    <s v="PTAN-001"/>
    <x v="0"/>
    <s v="Completed"/>
    <s v="Approved"/>
    <s v="Approved"/>
    <s v="Yes"/>
    <s v="Completed"/>
    <d v="2026-04-01T00:00:00"/>
    <d v="2026-04-18T00:00:00"/>
    <x v="0"/>
    <x v="0"/>
    <x v="0"/>
    <d v="2026-06-03T00:00:00"/>
    <s v="Ready for claims and ERA"/>
    <n v="17"/>
    <x v="0"/>
    <s v="NPI Match"/>
    <s v="No"/>
    <s v="No"/>
    <s v="No"/>
    <s v="No"/>
    <x v="0"/>
    <x v="0"/>
    <x v="0"/>
  </r>
  <r>
    <s v="ENR-002"/>
    <s v="River Valley Family Care"/>
    <s v="Dr. JIM Fitz"/>
    <s v="IND-NPI-1001"/>
    <s v="GRP-NPI-9001"/>
    <s v="GRP-NPI-9001"/>
    <s v="IND-NPI-1001"/>
    <s v="SYN-TIN-001"/>
    <x v="1"/>
    <s v="BCBS01"/>
    <s v="Commercial"/>
    <s v="NA"/>
    <x v="1"/>
    <s v="Completed"/>
    <s v="Pending"/>
    <s v="Not Started"/>
    <s v="No"/>
    <s v="Pending"/>
    <d v="2026-05-05T00:00:00"/>
    <m/>
    <x v="1"/>
    <x v="1"/>
    <x v="1"/>
    <d v="2026-06-05T00:00:00"/>
    <s v="Need to re-submit under Group NPI"/>
    <n v="29"/>
    <x v="1"/>
    <s v="NPI Mismatch"/>
    <s v="Yes"/>
    <s v="No"/>
    <s v="Yes"/>
    <s v="No"/>
    <x v="1"/>
    <x v="1"/>
    <x v="1"/>
  </r>
  <r>
    <s v="ENR-003"/>
    <s v="Northside Pediatrics"/>
    <s v="Dr. Joel Fernandez"/>
    <s v="IND-NPI-1002"/>
    <s v="GRP-NPI-9002"/>
    <s v="GRP-NPI-9002"/>
    <s v="GRP-NPI-9002"/>
    <s v="SYN-TIN-002"/>
    <x v="2"/>
    <s v="MCD01"/>
    <s v="Government"/>
    <s v="PTAN-002"/>
    <x v="0"/>
    <s v="Completed"/>
    <s v="Rejected"/>
    <s v="Pending"/>
    <s v="Yes"/>
    <s v="In Progress"/>
    <d v="2026-04-22T00:00:00"/>
    <m/>
    <x v="2"/>
    <x v="2"/>
    <x v="2"/>
    <d v="2026-06-04T00:00:00"/>
    <s v="Additional Mediacaid enrollment required after"/>
    <n v="42"/>
    <x v="1"/>
    <s v="NPI Match"/>
    <s v="No"/>
    <s v="No"/>
    <s v="No"/>
    <s v="Yes"/>
    <x v="1"/>
    <x v="2"/>
    <x v="1"/>
  </r>
  <r>
    <s v="ENR-004"/>
    <s v="Greenway Internal Medicine"/>
    <s v="Dr. Daniel Lee"/>
    <s v="IND-NPI-1003"/>
    <s v="GRP-NPI-9003"/>
    <s v="GRP-NPI-9003"/>
    <s v="GRP-NPI-9003"/>
    <s v="SYN-TIN-003"/>
    <x v="3"/>
    <s v="AET01"/>
    <s v="Commercial"/>
    <s v="NA"/>
    <x v="2"/>
    <s v="Completed"/>
    <s v="Approved"/>
    <s v="Pending"/>
    <s v="No"/>
    <s v="Pending"/>
    <d v="2026-05-12T00:00:00"/>
    <m/>
    <x v="1"/>
    <x v="3"/>
    <x v="0"/>
    <d v="2026-06-06T00:00:00"/>
    <s v="ERA enrollment pending route update"/>
    <n v="22"/>
    <x v="1"/>
    <s v="NPI Match"/>
    <s v="No"/>
    <s v="No"/>
    <s v="Yes"/>
    <s v="No"/>
    <x v="2"/>
    <x v="2"/>
    <x v="1"/>
  </r>
  <r>
    <s v="ENR-005"/>
    <s v="Lakeside Women Health"/>
    <s v="Dr. Priya Shah"/>
    <s v="IND-NPI-1004"/>
    <s v="GRP-NPI-9004"/>
    <s v="GRP-NPI-9004"/>
    <s v="GRP-NPI-9004"/>
    <s v="SYN-TIN-004"/>
    <x v="4"/>
    <s v="UHC01"/>
    <s v="Commercial"/>
    <s v="NA"/>
    <x v="1"/>
    <s v="Completed"/>
    <s v="Approved"/>
    <s v="Not Required"/>
    <s v="Yes"/>
    <s v="Completed"/>
    <d v="2026-04-15T00:00:00"/>
    <d v="2026-04-29T00:00:00"/>
    <x v="0"/>
    <x v="0"/>
    <x v="1"/>
    <d v="2026-06-03T00:00:00"/>
    <s v="Claims setup completed"/>
    <n v="14"/>
    <x v="0"/>
    <s v="NPI Match"/>
    <s v="No"/>
    <s v="No"/>
    <s v="No"/>
    <s v="No"/>
    <x v="0"/>
    <x v="1"/>
    <x v="0"/>
  </r>
  <r>
    <s v="ENR-006"/>
    <s v="Hillcrest Orthopedics"/>
    <s v="Dr. Mark Wilson"/>
    <s v="IND-NPI-1005"/>
    <s v="GRP-NPI-9005"/>
    <s v="GRP-NPI-9005"/>
    <s v="GRP-NPI-9006"/>
    <s v="SYN-TIN-005"/>
    <x v="5"/>
    <s v="CIG01"/>
    <s v="Commercial"/>
    <s v="NA"/>
    <x v="0"/>
    <s v="Completed"/>
    <s v="Rejected"/>
    <s v="Rejected"/>
    <s v="Yes"/>
    <s v="Issue Found"/>
    <d v="2026-05-01T00:00:00"/>
    <m/>
    <x v="2"/>
    <x v="4"/>
    <x v="1"/>
    <d v="2026-06-07T00:00:00"/>
    <s v="Enrolled group NPI does not match credentialed NPI"/>
    <n v="33"/>
    <x v="1"/>
    <s v="NPI Mismatch"/>
    <s v="Yes"/>
    <s v="No"/>
    <s v="No"/>
    <s v="No"/>
    <x v="1"/>
    <x v="2"/>
    <x v="1"/>
  </r>
  <r>
    <s v="ENR-007"/>
    <s v="Brightcare Cardiology"/>
    <s v="Dr. Vivek Nair"/>
    <s v="IND-NPI-1006"/>
    <s v="GRP-NPI-9006"/>
    <s v="GRP-NPI-9006"/>
    <s v="GRP-NPI-9006"/>
    <s v="SYN-TIN-006"/>
    <x v="6"/>
    <s v="HUM01"/>
    <s v="Commercial"/>
    <s v="NA"/>
    <x v="2"/>
    <s v="Completed"/>
    <s v="Approved"/>
    <s v="Approved"/>
    <s v="Yes"/>
    <s v="Completed"/>
    <d v="2026-03-28T00:00:00"/>
    <d v="2026-04-12T00:00:00"/>
    <x v="0"/>
    <x v="0"/>
    <x v="0"/>
    <d v="2026-06-03T00:00:00"/>
    <s v="ERS setup complete"/>
    <n v="15"/>
    <x v="0"/>
    <s v="NPI Match"/>
    <s v="No"/>
    <s v="No"/>
    <s v="No"/>
    <s v="No"/>
    <x v="2"/>
    <x v="0"/>
    <x v="0"/>
  </r>
  <r>
    <s v="ENR-008"/>
    <s v="Cedar Grove Clinic"/>
    <s v="Dr. Emily Chen"/>
    <s v="IND-NPI-1007"/>
    <s v="GRP-NPI-9007"/>
    <s v="GRP-NPI-9007"/>
    <s v="GRP-NPI-9007"/>
    <s v="SYN-TIN-007"/>
    <x v="0"/>
    <s v="MED01"/>
    <s v="Government"/>
    <s v="PTAN-OLD"/>
    <x v="0"/>
    <s v="Completed"/>
    <s v="Rejected"/>
    <s v="Pending"/>
    <s v="Yes"/>
    <s v="In Progress"/>
    <d v="2026-04-25T00:00:00"/>
    <m/>
    <x v="2"/>
    <x v="5"/>
    <x v="2"/>
    <d v="2026-06-05T00:00:00"/>
    <s v="Prcatice provided old PTAN"/>
    <n v="39"/>
    <x v="1"/>
    <s v="NPI Match"/>
    <s v="Yes"/>
    <s v="No"/>
    <s v="No"/>
    <s v="Yes"/>
    <x v="1"/>
    <x v="2"/>
    <x v="1"/>
  </r>
  <r>
    <s v="ENR-009"/>
    <s v="Oak Street Primary Care"/>
    <s v="Dr. Elizabeth Wanson"/>
    <s v="IND-NPI-1008"/>
    <s v="GRP-NPI-9008"/>
    <s v="GRP-NPI-9008"/>
    <s v="GRP-NPI-9008"/>
    <s v="SYN-TIN-008"/>
    <x v="1"/>
    <s v="BC0001"/>
    <s v="Commercial"/>
    <s v="NA"/>
    <x v="1"/>
    <s v="Completed"/>
    <s v="Rejected"/>
    <s v="Not Started"/>
    <s v="Yes"/>
    <s v="Issue Found"/>
    <d v="2026-05-08T00:00:00"/>
    <m/>
    <x v="2"/>
    <x v="6"/>
    <x v="2"/>
    <d v="2026-06-04T00:00:00"/>
    <s v="need to update payer ID before cliams submission"/>
    <n v="26"/>
    <x v="1"/>
    <s v="NPI Match"/>
    <s v="No"/>
    <s v="Yes"/>
    <s v="No"/>
    <s v="No"/>
    <x v="1"/>
    <x v="1"/>
    <x v="1"/>
  </r>
  <r>
    <s v="ENR-010"/>
    <s v="Westbrook Dermatology"/>
    <s v="Dr. Sarah Marshall"/>
    <s v="IND-NPI-1009"/>
    <s v="GRP-NPI-9009"/>
    <s v="GRP-NPI-9009"/>
    <s v="GRP-NPI-9009"/>
    <s v="SYN-TIN-009"/>
    <x v="5"/>
    <s v="CIG01"/>
    <s v="Commercial"/>
    <s v="NA"/>
    <x v="0"/>
    <s v="In Progress"/>
    <s v="Not Started"/>
    <s v="Not Started"/>
    <s v="No"/>
    <s v="Not Started"/>
    <d v="2026-05-20T00:00:00"/>
    <m/>
    <x v="1"/>
    <x v="7"/>
    <x v="0"/>
    <d v="2026-06-10T00:00:00"/>
    <s v="Do not submit claims until credentialing is complete"/>
    <n v="14"/>
    <x v="2"/>
    <s v="NPI Match"/>
    <s v="No"/>
    <s v="No"/>
    <s v="Yes"/>
    <s v="No"/>
    <x v="1"/>
    <x v="2"/>
    <x v="1"/>
  </r>
  <r>
    <s v="ENR-011"/>
    <s v="Summit Eye Care"/>
    <s v="Dr. Alan Brooks"/>
    <s v="IND-NPI-1010"/>
    <s v="GRP-NPI-9010"/>
    <s v="GRP-NPI-9010"/>
    <s v="IND-NPI-1010"/>
    <s v="SYN-TIN-010"/>
    <x v="4"/>
    <s v="UHC01"/>
    <s v="Commercial"/>
    <s v="NA"/>
    <x v="2"/>
    <s v="Completed"/>
    <s v="Approved"/>
    <s v="Rejected"/>
    <s v="Yes"/>
    <s v="Issue Found"/>
    <d v="2026-04-30T00:00:00"/>
    <m/>
    <x v="2"/>
    <x v="1"/>
    <x v="0"/>
    <d v="2026-06-06T00:00:00"/>
    <s v="ERA rejected due to billing entity mismatch"/>
    <n v="34"/>
    <x v="1"/>
    <s v="NPI Mismatch"/>
    <s v="Yes"/>
    <s v="No"/>
    <s v="No"/>
    <s v="No"/>
    <x v="2"/>
    <x v="2"/>
    <x v="1"/>
  </r>
  <r>
    <s v="ENR-012"/>
    <s v="Pine Ridge Family Clinic"/>
    <s v="Dr. Kavya Iyer"/>
    <s v="IND-NPI-1011"/>
    <s v="GRP-NPI-9011"/>
    <s v="GRP-NPI-9011"/>
    <s v="GRP-NPI-9011"/>
    <s v="SYN-TIN-011"/>
    <x v="3"/>
    <s v="AET01"/>
    <s v="Commercial"/>
    <s v="NA"/>
    <x v="0"/>
    <s v="Completed"/>
    <s v="Pending"/>
    <s v="Pending"/>
    <s v="Yes"/>
    <s v="In Progress"/>
    <d v="2026-05-18T00:00:00"/>
    <m/>
    <x v="1"/>
    <x v="8"/>
    <x v="0"/>
    <d v="2026-06-08T00:00:00"/>
    <s v="waiting for payer approval"/>
    <n v="16"/>
    <x v="2"/>
    <s v="NPI Match"/>
    <s v="No"/>
    <s v="No"/>
    <s v="No"/>
    <s v="No"/>
    <x v="1"/>
    <x v="2"/>
    <x v="1"/>
  </r>
  <r>
    <s v="ENR-013"/>
    <s v="Silverline Neurology"/>
    <s v="Dr. Thomas Gray"/>
    <s v="IND-NPI-1012"/>
    <s v="GRP-NPI-9012"/>
    <s v="GRP-NPI-9012"/>
    <s v="GRP-NPI-9012"/>
    <s v="SYN-TIN-012"/>
    <x v="2"/>
    <s v="MCD02"/>
    <s v="Government"/>
    <s v="PTAN-012"/>
    <x v="1"/>
    <s v="Completed"/>
    <s v="Approved"/>
    <s v="Not Required"/>
    <s v="Yes"/>
    <s v="Completed"/>
    <d v="2026-04-05T00:00:00"/>
    <d v="2026-04-21T00:00:00"/>
    <x v="0"/>
    <x v="0"/>
    <x v="2"/>
    <d v="2026-06-03T00:00:00"/>
    <s v="claims enrollment approved"/>
    <n v="16"/>
    <x v="0"/>
    <s v="NPI Match"/>
    <s v="No"/>
    <s v="No"/>
    <s v="No"/>
    <s v="No"/>
    <x v="0"/>
    <x v="1"/>
    <x v="0"/>
  </r>
  <r>
    <s v="ENR-014"/>
    <s v="Maple Leaf Urgent Care"/>
    <s v="Dr. Isla Fischer"/>
    <s v="IND-NPI-1013"/>
    <s v="GRP-NPI-9013"/>
    <s v="GRP-NPI-9013"/>
    <s v="GRP-NPI-9013"/>
    <s v="SYN-TIN-013"/>
    <x v="6"/>
    <s v="HUM01"/>
    <s v="Commercial"/>
    <s v="NA"/>
    <x v="0"/>
    <s v="Completed"/>
    <s v="Pending"/>
    <s v="Pending"/>
    <s v="No"/>
    <s v="Pending"/>
    <d v="2026-05-10T00:00:00"/>
    <m/>
    <x v="1"/>
    <x v="3"/>
    <x v="1"/>
    <d v="2026-06-06T00:00:00"/>
    <s v="Payer approved but portal route still pending"/>
    <n v="24"/>
    <x v="1"/>
    <s v="NPI Match"/>
    <s v="No"/>
    <s v="No"/>
    <s v="Yes"/>
    <s v="No"/>
    <x v="1"/>
    <x v="2"/>
    <x v="1"/>
  </r>
  <r>
    <s v="ENR-015"/>
    <s v="Southview endocrinology"/>
    <s v="Dr. Omar Ali"/>
    <s v="IND-NPI-1014"/>
    <s v="GRP-NPI-9014"/>
    <s v="GRP-NPI-9014"/>
    <s v="GRP-NPI-9015"/>
    <s v="SYN-TIN-014"/>
    <x v="0"/>
    <s v="MED01"/>
    <s v="Government"/>
    <s v="PTAN-014"/>
    <x v="0"/>
    <s v="Completed"/>
    <s v="Rejected"/>
    <s v="Rejected"/>
    <s v="Yes"/>
    <s v="Issue Found"/>
    <d v="2026-04-17T00:00:00"/>
    <m/>
    <x v="2"/>
    <x v="4"/>
    <x v="1"/>
    <d v="2026-06-05T00:00:00"/>
    <s v="Wrong group NPI entered during enrollment"/>
    <n v="47"/>
    <x v="1"/>
    <s v="NPI Mismatch"/>
    <s v="Yes"/>
    <s v="No"/>
    <s v="No"/>
    <s v="No"/>
    <x v="1"/>
    <x v="2"/>
    <x v="1"/>
  </r>
  <r>
    <s v="ENR-016"/>
    <s v="Blue Harbor ENT"/>
    <s v="Dr. Lily Morgan"/>
    <s v="IND-NPI-1015"/>
    <s v="GRP-NPI-9015"/>
    <s v="GRP-NPI-9015"/>
    <s v="GRP-NPI-9015"/>
    <s v="SYN-TIN-015"/>
    <x v="1"/>
    <s v="BLU01"/>
    <s v="Commercial"/>
    <s v="NA"/>
    <x v="1"/>
    <s v="Completed"/>
    <s v="Approved"/>
    <s v="Not Required"/>
    <s v="Yes"/>
    <s v="Completed"/>
    <d v="2026-05-02T00:00:00"/>
    <d v="2026-05-16T00:00:00"/>
    <x v="0"/>
    <x v="0"/>
    <x v="1"/>
    <d v="2026-06-03T00:00:00"/>
    <s v="Ready for claims "/>
    <n v="14"/>
    <x v="0"/>
    <s v="NPI Match"/>
    <s v="No"/>
    <s v="No"/>
    <s v="No"/>
    <s v="No"/>
    <x v="0"/>
    <x v="1"/>
    <x v="0"/>
  </r>
  <r>
    <s v="ENR-017"/>
    <s v="Valley View Gastro"/>
    <s v="Dr. Sanjay Mehta"/>
    <s v="IND-NPI-1016"/>
    <s v="GRP-NPI-9016"/>
    <s v="GRP-NPI-9016"/>
    <s v="GRP-NPI-9016"/>
    <s v="SYN-TIN-016"/>
    <x v="5"/>
    <s v="CIG01"/>
    <s v="Commercial"/>
    <s v="NA"/>
    <x v="2"/>
    <s v="Completed"/>
    <s v="Approved"/>
    <s v="Pending"/>
    <s v="Yes"/>
    <s v="In Progress"/>
    <d v="2026-05-11T00:00:00"/>
    <m/>
    <x v="1"/>
    <x v="9"/>
    <x v="2"/>
    <d v="2026-06-07T00:00:00"/>
    <s v="ERA pending payer confirmation"/>
    <n v="23"/>
    <x v="1"/>
    <s v="NPI Match"/>
    <s v="No"/>
    <s v="No"/>
    <s v="No"/>
    <s v="No"/>
    <x v="2"/>
    <x v="2"/>
    <x v="1"/>
  </r>
  <r>
    <s v="ENR-018"/>
    <s v="Riverside Behavioral Health"/>
    <s v="Dr. Hannah scott"/>
    <s v="IND-NPI-1017"/>
    <s v="GRP-NPI-9017"/>
    <s v="GRP-NPI-9017"/>
    <s v="GRP-NPI-9017"/>
    <s v="SYN-TIN-017"/>
    <x v="4"/>
    <s v="UNI01"/>
    <s v="Commercial"/>
    <s v="NA"/>
    <x v="0"/>
    <s v="Completed"/>
    <s v="Rejected"/>
    <s v="Pending"/>
    <s v="Yes"/>
    <s v="Issue Found"/>
    <d v="2026-05-06T00:00:00"/>
    <m/>
    <x v="2"/>
    <x v="10"/>
    <x v="2"/>
    <d v="2026-06-04T00:00:00"/>
    <s v="Incorrect payer ID used in enrollment "/>
    <n v="28"/>
    <x v="1"/>
    <s v="NPI Match"/>
    <s v="No"/>
    <s v="Yes"/>
    <s v="No"/>
    <s v="No"/>
    <x v="1"/>
    <x v="2"/>
    <x v="1"/>
  </r>
  <r>
    <s v="ENR-019"/>
    <s v="Sunrise Family Medicine"/>
    <s v="Dr. Alan Adams"/>
    <s v="IND-NPI-1018"/>
    <s v="GRP-NPI-9018"/>
    <s v="GRP-NPI-9018"/>
    <s v="GRP-NPI-9018"/>
    <s v="SYN-TIN-018"/>
    <x v="0"/>
    <s v="MED01"/>
    <s v="Government"/>
    <s v="PTAN-018"/>
    <x v="0"/>
    <s v="Completed"/>
    <s v="Pending"/>
    <s v="Pending"/>
    <s v="Yes"/>
    <s v="In Progress"/>
    <d v="2026-05-14T00:00:00"/>
    <m/>
    <x v="1"/>
    <x v="11"/>
    <x v="0"/>
    <d v="2026-06-09T00:00:00"/>
    <s v="Additional Medicare step required"/>
    <n v="20"/>
    <x v="2"/>
    <s v="NPI Match"/>
    <s v="No"/>
    <s v="No"/>
    <s v="No"/>
    <s v="Yes"/>
    <x v="1"/>
    <x v="2"/>
    <x v="1"/>
  </r>
  <r>
    <s v="ENR-020"/>
    <s v="Metro Spine Center"/>
    <s v="Dr. Grace Miller"/>
    <s v="IND-NPI-1019"/>
    <s v="GRP-NPI-9019"/>
    <s v="GRP-NPI-9019"/>
    <s v="GRP-NPI-9019"/>
    <s v="SYN-TIN-019"/>
    <x v="3"/>
    <s v="AET02"/>
    <s v="Commercial"/>
    <s v="NA"/>
    <x v="0"/>
    <s v="Completed"/>
    <s v="Approved"/>
    <s v="Approved"/>
    <s v="Yes"/>
    <s v="Completed"/>
    <d v="2026-04-09T00:00:00"/>
    <d v="2026-04-24T00:00:00"/>
    <x v="0"/>
    <x v="0"/>
    <x v="0"/>
    <d v="2026-06-03T00:00:00"/>
    <s v="Claims and ERA ready"/>
    <n v="15"/>
    <x v="0"/>
    <s v="NPI Match"/>
    <s v="No"/>
    <s v="No"/>
    <s v="No"/>
    <s v="No"/>
    <x v="0"/>
    <x v="0"/>
    <x v="0"/>
  </r>
  <r>
    <s v="ENR-021"/>
    <s v="Parkside Oncology"/>
    <s v="Dr. Farah Ahmed"/>
    <s v="IND-NPI-1020"/>
    <s v="GRP-NPI-9020"/>
    <s v="GRP-NPI-9020"/>
    <s v="IND-NPI-1020"/>
    <s v="SYN-TIN-020"/>
    <x v="6"/>
    <s v="HUM02"/>
    <s v="Commercial"/>
    <s v="NA"/>
    <x v="1"/>
    <s v="Completed"/>
    <s v="Rejected"/>
    <s v="Not Required"/>
    <s v="Yes"/>
    <s v="Issue Found"/>
    <d v="2026-05-09T00:00:00"/>
    <m/>
    <x v="2"/>
    <x v="1"/>
    <x v="0"/>
    <d v="2026-06-06T00:00:00"/>
    <s v="Claims enrollment submitted under individual NPI"/>
    <n v="25"/>
    <x v="1"/>
    <s v="NPI Mismatch"/>
    <s v="Yes"/>
    <s v="No"/>
    <s v="No"/>
    <s v="No"/>
    <x v="1"/>
    <x v="1"/>
    <x v="1"/>
  </r>
  <r>
    <s v="ENR-022"/>
    <s v="Eastwood Pulmonary"/>
    <s v="Dr. Kevin Brown"/>
    <s v="IND-NPI-1021"/>
    <s v="GRP-NPI-9021"/>
    <s v="GRP-NPI-9021"/>
    <s v="GRP-NPI-9021"/>
    <s v="SYN-TIN-021"/>
    <x v="2"/>
    <s v="MCD002"/>
    <s v="Commercial"/>
    <s v="PTAN-WRONG"/>
    <x v="0"/>
    <s v="Completed"/>
    <s v="Rejected"/>
    <s v="Pending"/>
    <s v="Yes"/>
    <s v="Issue Found"/>
    <d v="2026-04-28T00:00:00"/>
    <m/>
    <x v="2"/>
    <x v="5"/>
    <x v="0"/>
    <d v="2026-06-05T00:00:00"/>
    <s v="Wrong Medicaid provider number entered"/>
    <n v="36"/>
    <x v="1"/>
    <s v="NPI Match"/>
    <s v="Yes"/>
    <s v="No"/>
    <s v="No"/>
    <s v="Yes"/>
    <x v="1"/>
    <x v="2"/>
    <x v="1"/>
  </r>
  <r>
    <s v="ENR-023"/>
    <s v="Coral Springs Primary Care"/>
    <s v="Dr. June mandarin"/>
    <s v="IND-NPI-1022"/>
    <s v="GRP-NPI-9022"/>
    <s v="GRP-NPI-9022"/>
    <s v="GRP-NPI-9022"/>
    <s v="SYN-TIN-022"/>
    <x v="1"/>
    <s v="BLU02"/>
    <s v="Commercial"/>
    <s v="NA"/>
    <x v="2"/>
    <s v="Completed"/>
    <s v="Approved"/>
    <s v="Pending"/>
    <s v="No"/>
    <s v="Pending"/>
    <d v="2026-05-15T00:00:00"/>
    <m/>
    <x v="1"/>
    <x v="3"/>
    <x v="1"/>
    <d v="2026-06-08T00:00:00"/>
    <s v="ERA route pending clearinghouse update"/>
    <n v="19"/>
    <x v="2"/>
    <s v="NPI Match"/>
    <s v="No"/>
    <s v="No"/>
    <s v="Yes"/>
    <s v="No"/>
    <x v="2"/>
    <x v="2"/>
    <x v="1"/>
  </r>
  <r>
    <s v="ENR-024"/>
    <s v="Grand Oak Surgery Center"/>
    <s v="Dr. Nathan Reed"/>
    <s v="IND-NPI-1023"/>
    <s v="GRP-NPI-9023"/>
    <s v="GRP-NPI-9023"/>
    <s v="GRP-NPI-9023"/>
    <s v="SYN-TIN-023"/>
    <x v="5"/>
    <s v="CIG02"/>
    <s v="Commercial"/>
    <s v="NA"/>
    <x v="0"/>
    <s v="In Progress"/>
    <s v="Not Started"/>
    <s v="Not Started"/>
    <s v="No"/>
    <s v="Not Started"/>
    <d v="2026-05-22T00:00:00"/>
    <m/>
    <x v="1"/>
    <x v="7"/>
    <x v="2"/>
    <d v="2026-06-11T00:00:00"/>
    <s v="Credentialing still in progress"/>
    <n v="12"/>
    <x v="2"/>
    <s v="NPI Match"/>
    <s v="No"/>
    <s v="No"/>
    <s v="Yes"/>
    <s v="No"/>
    <x v="1"/>
    <x v="2"/>
    <x v="1"/>
  </r>
  <r>
    <s v="ENR-025"/>
    <s v="Willow Creek Pediatrics"/>
    <s v="Dr. Elena Torres"/>
    <s v="IND-NPI-1024"/>
    <s v="GRP-NPI-9024"/>
    <s v="GRP-NPI-9024"/>
    <s v="GRP-NPI-9024"/>
    <s v="SYN-TIN-024"/>
    <x v="4"/>
    <s v="UNI02"/>
    <s v="Commercial"/>
    <s v="NA"/>
    <x v="0"/>
    <s v="Completed"/>
    <s v="Approved"/>
    <s v="Approved"/>
    <s v="Yes"/>
    <s v="Completed"/>
    <d v="2026-04-03T00:00:00"/>
    <d v="2026-04-19T00:00:00"/>
    <x v="0"/>
    <x v="0"/>
    <x v="0"/>
    <d v="2026-06-03T00:00:00"/>
    <s v="Ready for claims and ERA"/>
    <n v="16"/>
    <x v="0"/>
    <s v="NPI Match"/>
    <s v="No"/>
    <s v="No"/>
    <s v="No"/>
    <s v="No"/>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G26:H38" firstHeaderRow="1" firstDataRow="1" firstDataCol="1" rowPageCount="1" colPageCount="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showAll="0"/>
    <pivotField axis="axisRow" showAll="0" sortType="descending">
      <items count="13">
        <item x="3"/>
        <item x="4"/>
        <item x="7"/>
        <item x="9"/>
        <item x="5"/>
        <item x="1"/>
        <item x="2"/>
        <item x="11"/>
        <item x="8"/>
        <item x="0"/>
        <item x="6"/>
        <item x="10"/>
        <item t="default"/>
      </items>
      <autoSortScope>
        <pivotArea dataOnly="0" outline="0" fieldPosition="0">
          <references count="1">
            <reference field="4294967294" count="1" selected="0">
              <x v="0"/>
            </reference>
          </references>
        </pivotArea>
      </autoSortScope>
    </pivotField>
    <pivotField showAll="0">
      <items count="5">
        <item h="1" x="2"/>
        <item h="1" x="1"/>
        <item m="1" x="3"/>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1">
    <field x="21"/>
  </rowFields>
  <rowItems count="12">
    <i>
      <x/>
    </i>
    <i>
      <x v="5"/>
    </i>
    <i>
      <x v="4"/>
    </i>
    <i>
      <x v="2"/>
    </i>
    <i>
      <x v="1"/>
    </i>
    <i>
      <x v="8"/>
    </i>
    <i>
      <x v="11"/>
    </i>
    <i>
      <x v="10"/>
    </i>
    <i>
      <x v="3"/>
    </i>
    <i>
      <x v="7"/>
    </i>
    <i>
      <x v="6"/>
    </i>
    <i t="grand">
      <x/>
    </i>
  </rowItems>
  <colItems count="1">
    <i/>
  </colItems>
  <pageFields count="1">
    <pageField fld="34" item="1" hier="-1"/>
  </pageFields>
  <dataFields count="1">
    <dataField name="Count of Record_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ERA Status">
  <location ref="J15:K17" firstHeaderRow="1" firstDataRow="1" firstDataCol="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showAll="0"/>
    <pivotField showAll="0"/>
    <pivotField showAll="0">
      <items count="5">
        <item h="1" x="2"/>
        <item h="1" x="1"/>
        <item m="1" x="3"/>
        <item h="1" x="0"/>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4">
        <item h="1" x="1"/>
        <item h="1" x="2"/>
        <item x="0"/>
        <item t="default"/>
      </items>
    </pivotField>
    <pivotField showAll="0"/>
  </pivotFields>
  <rowFields count="1">
    <field x="33"/>
  </rowFields>
  <rowItems count="2">
    <i>
      <x v="2"/>
    </i>
    <i t="grand">
      <x/>
    </i>
  </rowItems>
  <colItems count="1">
    <i/>
  </colItems>
  <dataFields count="1">
    <dataField name="Count"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Claims status">
  <location ref="J10:K12" firstHeaderRow="1" firstDataRow="1" firstDataCol="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showAll="0"/>
    <pivotField showAll="0"/>
    <pivotField showAll="0">
      <items count="5">
        <item h="1" x="2"/>
        <item h="1" x="1"/>
        <item m="1" x="3"/>
        <item h="1" x="0"/>
        <item t="default"/>
      </items>
    </pivotField>
    <pivotField numFmtId="14" showAll="0"/>
    <pivotField showAll="0"/>
    <pivotField showAll="0"/>
    <pivotField showAll="0"/>
    <pivotField showAll="0"/>
    <pivotField showAll="0"/>
    <pivotField showAll="0"/>
    <pivotField showAll="0"/>
    <pivotField showAll="0"/>
    <pivotField axis="axisRow" showAll="0">
      <items count="4">
        <item h="1" x="2"/>
        <item h="1" x="1"/>
        <item x="0"/>
        <item t="default"/>
      </items>
    </pivotField>
    <pivotField showAll="0"/>
    <pivotField showAll="0"/>
  </pivotFields>
  <rowFields count="1">
    <field x="32"/>
  </rowFields>
  <rowItems count="2">
    <i>
      <x v="2"/>
    </i>
    <i t="grand">
      <x/>
    </i>
  </rowItems>
  <colItems count="1">
    <i/>
  </colItems>
  <dataFields count="1">
    <dataField name="Count"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2:N7" firstHeaderRow="1" firstDataRow="2" firstDataCol="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showAll="0"/>
    <pivotField axis="axisCol" showAll="0">
      <items count="4">
        <item x="2"/>
        <item x="1"/>
        <item x="0"/>
        <item t="default"/>
      </items>
    </pivotField>
    <pivotField showAll="0"/>
    <pivotField showAll="0">
      <items count="5">
        <item h="1" x="2"/>
        <item h="1" x="1"/>
        <item m="1" x="3"/>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Fields count="1">
    <field x="20"/>
  </colFields>
  <colItems count="4">
    <i>
      <x/>
    </i>
    <i>
      <x v="1"/>
    </i>
    <i>
      <x v="2"/>
    </i>
    <i t="grand">
      <x/>
    </i>
  </colItems>
  <dataFields count="1">
    <dataField name="Count of Record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rowHeaderCaption="Assignee" colHeaderCaption="Current Satus">
  <location ref="A26:D31" firstHeaderRow="1" firstDataRow="2" firstDataCol="1" rowPageCount="1" colPageCount="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axis="axisCol" showAll="0">
      <items count="4">
        <item x="2"/>
        <item x="1"/>
        <item x="0"/>
        <item t="default"/>
      </items>
    </pivotField>
    <pivotField showAll="0"/>
    <pivotField axis="axisRow" showAll="0">
      <items count="5">
        <item x="2"/>
        <item x="1"/>
        <item m="1" x="3"/>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Page" showAll="0" defaultSubtotal="0">
      <items count="2">
        <item x="0"/>
        <item x="1"/>
      </items>
    </pivotField>
  </pivotFields>
  <rowFields count="1">
    <field x="22"/>
  </rowFields>
  <rowItems count="4">
    <i>
      <x/>
    </i>
    <i>
      <x v="1"/>
    </i>
    <i>
      <x v="3"/>
    </i>
    <i t="grand">
      <x/>
    </i>
  </rowItems>
  <colFields count="1">
    <field x="20"/>
  </colFields>
  <colItems count="3">
    <i>
      <x/>
    </i>
    <i>
      <x v="1"/>
    </i>
    <i t="grand">
      <x/>
    </i>
  </colItems>
  <pageFields count="1">
    <pageField fld="34" item="1" hier="-1"/>
  </pageFields>
  <dataFields count="1">
    <dataField name="Count of Record_ID" fld="0" subtotal="count" baseField="0" baseItem="0"/>
  </dataFields>
  <chartFormats count="3">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14:F23" firstHeaderRow="1" firstDataRow="2" firstDataCol="1"/>
  <pivotFields count="35">
    <pivotField dataField="1" showAll="0"/>
    <pivotField showAll="0"/>
    <pivotField showAll="0"/>
    <pivotField showAll="0"/>
    <pivotField showAll="0"/>
    <pivotField showAll="0"/>
    <pivotField showAll="0"/>
    <pivotField showAll="0"/>
    <pivotField axis="axisRow" showAll="0">
      <items count="8">
        <item x="3"/>
        <item x="1"/>
        <item x="5"/>
        <item x="6"/>
        <item x="2"/>
        <item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showAll="0"/>
    <pivotField showAll="0"/>
    <pivotField showAll="0">
      <items count="5">
        <item h="1" x="2"/>
        <item h="1" x="1"/>
        <item m="1" x="3"/>
        <item h="1" x="0"/>
        <item t="default"/>
      </items>
    </pivotField>
    <pivotField numFmtId="14" showAll="0"/>
    <pivotField showAll="0"/>
    <pivotField showAll="0"/>
    <pivotField axis="axisCol" showAll="0">
      <items count="4">
        <item h="1" x="0"/>
        <item x="1"/>
        <item h="1" x="2"/>
        <item t="default"/>
      </items>
    </pivotField>
    <pivotField showAll="0"/>
    <pivotField showAll="0"/>
    <pivotField showAll="0"/>
    <pivotField showAll="0"/>
    <pivotField showAll="0"/>
    <pivotField showAll="0"/>
    <pivotField showAll="0"/>
    <pivotField showAll="0" defaultSubtotal="0"/>
  </pivotFields>
  <rowFields count="1">
    <field x="8"/>
  </rowFields>
  <rowItems count="8">
    <i>
      <x/>
    </i>
    <i>
      <x v="1"/>
    </i>
    <i>
      <x v="2"/>
    </i>
    <i>
      <x v="3"/>
    </i>
    <i>
      <x v="4"/>
    </i>
    <i>
      <x v="5"/>
    </i>
    <i>
      <x v="6"/>
    </i>
    <i t="grand">
      <x/>
    </i>
  </rowItems>
  <colFields count="1">
    <field x="26"/>
  </colFields>
  <colItems count="2">
    <i>
      <x v="1"/>
    </i>
    <i t="grand">
      <x/>
    </i>
  </colItems>
  <dataFields count="1">
    <dataField name="Count of Record_ID" fld="0" subtotal="count" baseField="0" baseItem="0"/>
  </dataFields>
  <chartFormats count="2">
    <chartFormat chart="8" format="2" series="1">
      <pivotArea type="data" outline="0" fieldPosition="0">
        <references count="2">
          <reference field="4294967294" count="1" selected="0">
            <x v="0"/>
          </reference>
          <reference field="26" count="1" selected="0">
            <x v="1"/>
          </reference>
        </references>
      </pivotArea>
    </chartFormat>
    <chartFormat chart="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2:F10" firstHeaderRow="1" firstDataRow="2" firstDataCol="1"/>
  <pivotFields count="35">
    <pivotField dataField="1" showAll="0"/>
    <pivotField showAll="0"/>
    <pivotField showAll="0"/>
    <pivotField showAll="0"/>
    <pivotField showAll="0"/>
    <pivotField showAll="0"/>
    <pivotField showAll="0"/>
    <pivotField showAll="0"/>
    <pivotField axis="axisRow" showAll="0">
      <items count="8">
        <item x="3"/>
        <item x="1"/>
        <item x="5"/>
        <item x="6"/>
        <item x="2"/>
        <item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axis="axisCol" showAll="0">
      <items count="4">
        <item x="2"/>
        <item h="1" x="1"/>
        <item h="1" x="0"/>
        <item t="default"/>
      </items>
    </pivotField>
    <pivotField showAll="0"/>
    <pivotField showAll="0">
      <items count="5">
        <item h="1" x="2"/>
        <item h="1" x="1"/>
        <item m="1" x="3"/>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8"/>
  </rowFields>
  <rowItems count="7">
    <i>
      <x v="1"/>
    </i>
    <i>
      <x v="2"/>
    </i>
    <i>
      <x v="3"/>
    </i>
    <i>
      <x v="4"/>
    </i>
    <i>
      <x v="5"/>
    </i>
    <i>
      <x v="6"/>
    </i>
    <i t="grand">
      <x/>
    </i>
  </rowItems>
  <colFields count="1">
    <field x="20"/>
  </colFields>
  <colItems count="2">
    <i>
      <x/>
    </i>
    <i t="grand">
      <x/>
    </i>
  </colItems>
  <dataFields count="1">
    <dataField name="Count of Record_ID" fld="0" subtotal="count" baseField="0" baseItem="0"/>
  </dataFields>
  <chartFormats count="2">
    <chartFormat chart="10" format="2" series="1">
      <pivotArea type="data" outline="0" fieldPosition="0">
        <references count="2">
          <reference field="4294967294" count="1" selected="0">
            <x v="0"/>
          </reference>
          <reference field="20"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B22" firstHeaderRow="1" firstDataRow="1" firstDataCol="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showAll="0"/>
    <pivotField axis="axisRow" showAll="0" sortType="descending">
      <items count="13">
        <item x="3"/>
        <item x="4"/>
        <item x="7"/>
        <item x="9"/>
        <item x="5"/>
        <item x="1"/>
        <item x="2"/>
        <item x="11"/>
        <item x="8"/>
        <item x="0"/>
        <item x="6"/>
        <item x="10"/>
        <item t="default"/>
      </items>
      <autoSortScope>
        <pivotArea dataOnly="0" outline="0" fieldPosition="0">
          <references count="1">
            <reference field="4294967294" count="1" selected="0">
              <x v="0"/>
            </reference>
          </references>
        </pivotArea>
      </autoSortScope>
    </pivotField>
    <pivotField showAll="0">
      <items count="5">
        <item h="1" x="2"/>
        <item h="1" x="1"/>
        <item m="1" x="3"/>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1"/>
  </rowFields>
  <rowItems count="13">
    <i>
      <x v="9"/>
    </i>
    <i>
      <x/>
    </i>
    <i>
      <x v="5"/>
    </i>
    <i>
      <x v="4"/>
    </i>
    <i>
      <x v="2"/>
    </i>
    <i>
      <x v="1"/>
    </i>
    <i>
      <x v="10"/>
    </i>
    <i>
      <x v="8"/>
    </i>
    <i>
      <x v="3"/>
    </i>
    <i>
      <x v="11"/>
    </i>
    <i>
      <x v="6"/>
    </i>
    <i>
      <x v="7"/>
    </i>
    <i t="grand">
      <x/>
    </i>
  </rowItems>
  <colItems count="1">
    <i/>
  </colItems>
  <dataFields count="1">
    <dataField name="Count of Record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5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Current Status">
  <location ref="A2:B6" firstHeaderRow="1" firstDataRow="1" firstDataCol="1"/>
  <pivotFields count="35">
    <pivotField dataField="1" showAll="0"/>
    <pivotField showAll="0"/>
    <pivotField showAll="0"/>
    <pivotField showAll="0"/>
    <pivotField showAll="0"/>
    <pivotField showAll="0"/>
    <pivotField showAll="0"/>
    <pivotField showAll="0"/>
    <pivotField showAll="0">
      <items count="8">
        <item h="1" x="3"/>
        <item h="1" x="1"/>
        <item h="1" x="5"/>
        <item h="1" x="6"/>
        <item h="1" x="2"/>
        <item h="1" x="0"/>
        <item x="4"/>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axis="axisRow" showAll="0">
      <items count="4">
        <item x="2"/>
        <item x="1"/>
        <item x="0"/>
        <item t="default"/>
      </items>
    </pivotField>
    <pivotField showAll="0"/>
    <pivotField showAll="0">
      <items count="5">
        <item h="1" x="2"/>
        <item h="1" x="1"/>
        <item m="1" x="3"/>
        <item h="1" x="0"/>
        <item t="default"/>
      </items>
    </pivotField>
    <pivotField numFmtId="14"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defaultSubtotal="0">
      <items count="2">
        <item x="0"/>
        <item x="1"/>
      </items>
    </pivotField>
  </pivotFields>
  <rowFields count="1">
    <field x="20"/>
  </rowFields>
  <rowItems count="4">
    <i>
      <x/>
    </i>
    <i>
      <x v="1"/>
    </i>
    <i>
      <x v="2"/>
    </i>
    <i t="grand">
      <x/>
    </i>
  </rowItems>
  <colItems count="1">
    <i/>
  </colItems>
  <dataFields count="1">
    <dataField name="Count of Record_ID" fld="0"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0" count="1" selected="0">
            <x v="0"/>
          </reference>
        </references>
      </pivotArea>
    </chartFormat>
    <chartFormat chart="5" format="7">
      <pivotArea type="data" outline="0" fieldPosition="0">
        <references count="2">
          <reference field="4294967294" count="1" selected="0">
            <x v="0"/>
          </reference>
          <reference field="20" count="1" selected="0">
            <x v="1"/>
          </reference>
        </references>
      </pivotArea>
    </chartFormat>
    <chartFormat chart="5" format="8">
      <pivotArea type="data" outline="0" fieldPosition="0">
        <references count="2">
          <reference field="4294967294" count="1" selected="0">
            <x v="0"/>
          </reference>
          <reference field="2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blEnrollment" displayName="tblEnrollment" ref="A1:AI27" totalsRowCount="1" headerRowDxfId="47" headerRowBorderDxfId="72" tableBorderDxfId="73">
  <autoFilter ref="A1:AI27"/>
  <tableColumns count="35">
    <tableColumn id="1" name="Record_ID" dataDxfId="46"/>
    <tableColumn id="2" name="Practice Name" dataDxfId="71" totalsRowDxfId="33"/>
    <tableColumn id="3" name="Provider Name" dataDxfId="70" totalsRowDxfId="32"/>
    <tableColumn id="4" name="Individual NPI" dataDxfId="69" totalsRowDxfId="31"/>
    <tableColumn id="5" name="Group NPI" dataDxfId="68" totalsRowDxfId="30"/>
    <tableColumn id="6" name="Credentialed NPI" dataDxfId="67" totalsRowDxfId="29"/>
    <tableColumn id="7" name="Enrolled NPI" dataDxfId="66" totalsRowDxfId="28"/>
    <tableColumn id="8" name="Tax ID" dataDxfId="65" totalsRowDxfId="27"/>
    <tableColumn id="9" name="Payer Name" dataDxfId="64" totalsRowDxfId="26"/>
    <tableColumn id="10" name="Payer ID" dataDxfId="63" totalsRowDxfId="25"/>
    <tableColumn id="11" name="Payer Type" dataDxfId="62" totalsRowDxfId="24"/>
    <tableColumn id="12" name="PTAN/Provider number" dataDxfId="61" totalsRowDxfId="23"/>
    <tableColumn id="13" name="Enrollment Type " dataDxfId="60" totalsRowDxfId="22"/>
    <tableColumn id="14" name="Credentialing status" dataDxfId="59" totalsRowDxfId="21"/>
    <tableColumn id="15" name="Claims_Enrollment_Status" dataDxfId="58" totalsRowDxfId="20"/>
    <tableColumn id="16" name="ERA Enrollment Status" dataDxfId="57" totalsRowDxfId="19"/>
    <tableColumn id="17" name="EEP updated?" dataDxfId="56" totalsRowDxfId="18"/>
    <tableColumn id="18" name="EEP Status" dataDxfId="55" totalsRowDxfId="17"/>
    <tableColumn id="19" name="Submitted Date" dataDxfId="54" totalsRowDxfId="16"/>
    <tableColumn id="20" name="Approved date" dataDxfId="53" totalsRowDxfId="15"/>
    <tableColumn id="21" name="Current Status" dataDxfId="52" totalsRowDxfId="14"/>
    <tableColumn id="22" name="Blocked reason" dataDxfId="51" totalsRowDxfId="13"/>
    <tableColumn id="23" name="Assigned Owner" dataDxfId="50" totalsRowDxfId="12"/>
    <tableColumn id="24" name="Follow-up Date" dataDxfId="49" totalsRowDxfId="11"/>
    <tableColumn id="25" name="Notes" dataDxfId="48" totalsRowDxfId="10"/>
    <tableColumn id="26" name="Aging Days" dataDxfId="43" totalsRowDxfId="9">
      <calculatedColumnFormula>IF(tblEnrollment[[#This Row],[Approved date]]="",DATE(2026,6,3)-tblEnrollment[[#This Row],[Submitted Date]],tblEnrollment[[#This Row],[Approved date]]-tblEnrollment[[#This Row],[Submitted Date]])</calculatedColumnFormula>
    </tableColumn>
    <tableColumn id="27" name="SLA Status" dataDxfId="42" totalsRowDxfId="8">
      <calculatedColumnFormula>IF(tblEnrollment[[#This Row],[Current Status]] ="Ready","Completed",IF(Z2&gt;21,"SLA Breached","Within SLA"))</calculatedColumnFormula>
    </tableColumn>
    <tableColumn id="28" name="NPI Match Status" dataDxfId="41" totalsRowDxfId="7">
      <calculatedColumnFormula>IF(tblEnrollment[[#This Row],[Credentialed NPI]] =tblEnrollment[[#This Row],[Enrolled NPI]],"NPI Match","NPI Mismatch")</calculatedColumnFormula>
    </tableColumn>
    <tableColumn id="29" name="Provider Identifier Issue Flag" dataDxfId="40" totalsRowDxfId="6">
      <calculatedColumnFormula>IF(OR(tblEnrollment[[#This Row],[Blocked reason]] ="Individual NPI used instead of Group NPI",tblEnrollment[[#This Row],[Blocked reason]] ="Credentialed NPI mismatch",tblEnrollment[[#This Row],[Blocked reason]] ="Incorrect PTAN/Provider number"),"Yes","No")</calculatedColumnFormula>
    </tableColumn>
    <tableColumn id="30" name="Payer Routing issue Flag" dataDxfId="39" totalsRowDxfId="5">
      <calculatedColumnFormula>IF(OR(tblEnrollment[[#This Row],[Blocked reason]] ="Wrong Payer ID",tblEnrollment[[#This Row],[Blocked reason]] ="Old Payer ID used"),"Yes","No")</calculatedColumnFormula>
    </tableColumn>
    <tableColumn id="31" name="Clearinghouse gap Flag" dataDxfId="38" totalsRowDxfId="4">
      <calculatedColumnFormula>IF(OR(tblEnrollment[[#This Row],[EEP updated?]]="No",tblEnrollment[[#This Row],[Blocked reason]] ="Clearinghouse portal not updated"),"Yes","No")</calculatedColumnFormula>
    </tableColumn>
    <tableColumn id="32" name="Government Payer Issue Flag" dataDxfId="37" totalsRowDxfId="3">
      <calculatedColumnFormula>IF(OR(tblEnrollment[[#This Row],[Blocked reason]] ="Medicaid additional enrollment is missing",tblEnrollment[[#This Row],[Blocked reason]] ="Incorrect PTAN/Provider number",tblEnrollment[[#This Row],[Blocked reason]] ="Medicare additional enrollment missing"),"Yes","No")</calculatedColumnFormula>
    </tableColumn>
    <tableColumn id="33" name="Claims Ready Flag" dataDxfId="36" totalsRowDxfId="2">
      <calculatedColumnFormula>IF(OR(tblEnrollment[[#This Row],[Enrollment Type ]]="Claims",tblEnrollment[[#This Row],[Enrollment Type ]]="Claims and ERA"),IF(AND(tblEnrollment[[#This Row],[Credentialing status]]="Completed",tblEnrollment[[#This Row],[Claims_Enrollment_Status]]="Approved",tblEnrollment[[#This Row],[EEP Status]]="Completed",AB2="NPI Match"),"Ready","Not Ready"),"Not Applicable")</calculatedColumnFormula>
    </tableColumn>
    <tableColumn id="34" name="ERA Ready Flag" dataDxfId="35" totalsRowDxfId="1">
      <calculatedColumnFormula>IF(OR(tblEnrollment[[#This Row],[Enrollment Type ]]="ERA",tblEnrollment[[#This Row],[Enrollment Type ]]="Claims and ERA"),IF(AND(tblEnrollment[[#This Row],[Credentialing status]]="Completed",tblEnrollment[[#This Row],[ERA Enrollment Status]]="Approved",tblEnrollment[[#This Row],[EEP Status]]="Completed",AB2="NPI Match"),"Ready","Not Ready"),"Not Applicable")</calculatedColumnFormula>
    </tableColumn>
    <tableColumn id="35" name="Action Required Flag" dataDxfId="34" totalsRowDxfId="0">
      <calculatedColumnFormula>IF(tblEnrollment[[#This Row],[Blocked reason]] ="No Blocker","No","Yes")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D12" totalsRowShown="0">
  <autoFilter ref="A1:D12"/>
  <tableColumns count="4">
    <tableColumn id="1" name="Check Name"/>
    <tableColumn id="2" name="Expected Result"/>
    <tableColumn id="3" name="Actual Result" dataDxfId="45"/>
    <tableColumn id="4" name="Check Status" dataDxfId="44">
      <calculatedColumnFormula>IF(Table2[[#This Row],[Expected Result]]=Table2[[#This Row],[Actual Result]],"Pass","Check")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
  <sheetViews>
    <sheetView workbookViewId="0">
      <selection activeCell="G1" sqref="G1"/>
    </sheetView>
  </sheetViews>
  <sheetFormatPr defaultRowHeight="14.5" x14ac:dyDescent="0.35"/>
  <cols>
    <col min="1" max="1" width="9.453125" bestFit="1" customWidth="1"/>
    <col min="2" max="2" width="24.6328125" bestFit="1" customWidth="1"/>
    <col min="3" max="3" width="18.90625" bestFit="1" customWidth="1"/>
    <col min="4" max="5" width="12.26953125" bestFit="1" customWidth="1"/>
    <col min="6" max="6" width="14.81640625" bestFit="1" customWidth="1"/>
    <col min="7" max="7" width="12.26953125" bestFit="1" customWidth="1"/>
    <col min="8" max="8" width="11.08984375" bestFit="1" customWidth="1"/>
    <col min="9" max="9" width="17" bestFit="1" customWidth="1"/>
    <col min="10" max="10" width="7.90625" bestFit="1" customWidth="1"/>
    <col min="11" max="11" width="11.26953125" bestFit="1" customWidth="1"/>
    <col min="12" max="12" width="20.36328125" bestFit="1" customWidth="1"/>
    <col min="13" max="13" width="15" bestFit="1" customWidth="1"/>
    <col min="14" max="14" width="17.453125" bestFit="1" customWidth="1"/>
    <col min="15" max="15" width="22.81640625" bestFit="1" customWidth="1"/>
    <col min="16" max="16" width="19.453125" bestFit="1" customWidth="1"/>
    <col min="17" max="17" width="12.1796875" bestFit="1" customWidth="1"/>
    <col min="18" max="18" width="10.81640625" bestFit="1" customWidth="1"/>
    <col min="19" max="19" width="13.81640625" bestFit="1" customWidth="1"/>
    <col min="20" max="20" width="13.26953125" bestFit="1" customWidth="1"/>
    <col min="21" max="21" width="12.7265625" bestFit="1" customWidth="1"/>
    <col min="22" max="22" width="35.81640625" bestFit="1" customWidth="1"/>
    <col min="23" max="23" width="14.36328125" bestFit="1" customWidth="1"/>
    <col min="24" max="24" width="13.54296875" bestFit="1" customWidth="1"/>
    <col min="25" max="25" width="44.54296875" bestFit="1" customWidth="1"/>
  </cols>
  <sheetData>
    <row r="1" spans="1:25" x14ac:dyDescent="0.35">
      <c r="A1" s="3" t="s">
        <v>24</v>
      </c>
      <c r="B1" s="3" t="s">
        <v>1</v>
      </c>
      <c r="C1" s="3" t="s">
        <v>0</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row>
    <row r="2" spans="1:25" x14ac:dyDescent="0.35">
      <c r="A2" s="4" t="s">
        <v>25</v>
      </c>
      <c r="B2" s="4" t="s">
        <v>50</v>
      </c>
      <c r="C2" s="4" t="s">
        <v>51</v>
      </c>
      <c r="D2" s="4" t="s">
        <v>52</v>
      </c>
      <c r="E2" s="4" t="s">
        <v>76</v>
      </c>
      <c r="F2" s="4" t="s">
        <v>76</v>
      </c>
      <c r="G2" s="4" t="s">
        <v>76</v>
      </c>
      <c r="H2" s="4" t="s">
        <v>77</v>
      </c>
      <c r="I2" s="4" t="s">
        <v>78</v>
      </c>
      <c r="J2" s="4" t="s">
        <v>79</v>
      </c>
      <c r="K2" s="4" t="s">
        <v>80</v>
      </c>
      <c r="L2" s="4" t="s">
        <v>81</v>
      </c>
      <c r="M2" s="4" t="s">
        <v>82</v>
      </c>
      <c r="N2" s="4" t="s">
        <v>83</v>
      </c>
      <c r="O2" s="4" t="s">
        <v>84</v>
      </c>
      <c r="P2" s="4" t="s">
        <v>84</v>
      </c>
      <c r="Q2" s="4" t="s">
        <v>85</v>
      </c>
      <c r="R2" s="4" t="s">
        <v>83</v>
      </c>
      <c r="S2" s="5">
        <v>46113</v>
      </c>
      <c r="T2" s="5">
        <v>46130</v>
      </c>
      <c r="U2" s="4" t="s">
        <v>86</v>
      </c>
      <c r="V2" s="4" t="s">
        <v>87</v>
      </c>
      <c r="W2" s="4" t="s">
        <v>88</v>
      </c>
      <c r="X2" s="5">
        <v>46176</v>
      </c>
      <c r="Y2" s="4" t="s">
        <v>89</v>
      </c>
    </row>
    <row r="3" spans="1:25" x14ac:dyDescent="0.35">
      <c r="A3" s="4" t="s">
        <v>26</v>
      </c>
      <c r="B3" s="4" t="s">
        <v>50</v>
      </c>
      <c r="C3" s="4" t="s">
        <v>51</v>
      </c>
      <c r="D3" s="4" t="s">
        <v>52</v>
      </c>
      <c r="E3" s="4" t="s">
        <v>76</v>
      </c>
      <c r="F3" s="4" t="s">
        <v>76</v>
      </c>
      <c r="G3" s="4" t="s">
        <v>52</v>
      </c>
      <c r="H3" s="4" t="s">
        <v>77</v>
      </c>
      <c r="I3" s="4" t="s">
        <v>90</v>
      </c>
      <c r="J3" s="4" t="s">
        <v>91</v>
      </c>
      <c r="K3" s="4" t="s">
        <v>92</v>
      </c>
      <c r="L3" s="4" t="s">
        <v>93</v>
      </c>
      <c r="M3" s="4" t="s">
        <v>94</v>
      </c>
      <c r="N3" s="4" t="s">
        <v>83</v>
      </c>
      <c r="O3" s="4" t="s">
        <v>95</v>
      </c>
      <c r="P3" s="4" t="s">
        <v>96</v>
      </c>
      <c r="Q3" s="4" t="s">
        <v>97</v>
      </c>
      <c r="R3" s="4" t="s">
        <v>95</v>
      </c>
      <c r="S3" s="5">
        <v>46147</v>
      </c>
      <c r="T3" s="4"/>
      <c r="U3" s="4" t="s">
        <v>95</v>
      </c>
      <c r="V3" s="4" t="s">
        <v>223</v>
      </c>
      <c r="W3" s="4" t="s">
        <v>234</v>
      </c>
      <c r="X3" s="5">
        <v>46178</v>
      </c>
      <c r="Y3" s="4" t="s">
        <v>237</v>
      </c>
    </row>
    <row r="4" spans="1:25" ht="15" thickBot="1" x14ac:dyDescent="0.4">
      <c r="A4" s="4" t="s">
        <v>27</v>
      </c>
      <c r="B4" s="4" t="s">
        <v>98</v>
      </c>
      <c r="C4" s="8" t="s">
        <v>121</v>
      </c>
      <c r="D4" s="4" t="s">
        <v>53</v>
      </c>
      <c r="E4" s="4" t="s">
        <v>144</v>
      </c>
      <c r="F4" s="4" t="s">
        <v>144</v>
      </c>
      <c r="G4" s="4" t="s">
        <v>144</v>
      </c>
      <c r="H4" s="4" t="s">
        <v>167</v>
      </c>
      <c r="I4" s="4" t="s">
        <v>190</v>
      </c>
      <c r="J4" s="4" t="s">
        <v>192</v>
      </c>
      <c r="K4" s="4" t="s">
        <v>80</v>
      </c>
      <c r="L4" s="4" t="s">
        <v>209</v>
      </c>
      <c r="M4" s="4" t="s">
        <v>82</v>
      </c>
      <c r="N4" s="4" t="s">
        <v>83</v>
      </c>
      <c r="O4" s="4" t="s">
        <v>218</v>
      </c>
      <c r="P4" s="4" t="s">
        <v>95</v>
      </c>
      <c r="Q4" s="4" t="s">
        <v>85</v>
      </c>
      <c r="R4" s="4" t="s">
        <v>217</v>
      </c>
      <c r="S4" s="5">
        <v>46134</v>
      </c>
      <c r="T4" s="4"/>
      <c r="U4" s="4" t="s">
        <v>222</v>
      </c>
      <c r="V4" s="4" t="s">
        <v>224</v>
      </c>
      <c r="W4" s="4" t="s">
        <v>235</v>
      </c>
      <c r="X4" s="5">
        <v>46177</v>
      </c>
      <c r="Y4" s="4" t="s">
        <v>238</v>
      </c>
    </row>
    <row r="5" spans="1:25" ht="15" thickBot="1" x14ac:dyDescent="0.4">
      <c r="A5" s="4" t="s">
        <v>28</v>
      </c>
      <c r="B5" s="6" t="s">
        <v>99</v>
      </c>
      <c r="C5" s="10" t="s">
        <v>122</v>
      </c>
      <c r="D5" s="7" t="s">
        <v>54</v>
      </c>
      <c r="E5" s="4" t="s">
        <v>145</v>
      </c>
      <c r="F5" s="4" t="s">
        <v>145</v>
      </c>
      <c r="G5" s="4" t="s">
        <v>145</v>
      </c>
      <c r="H5" s="4" t="s">
        <v>168</v>
      </c>
      <c r="I5" s="4" t="s">
        <v>191</v>
      </c>
      <c r="J5" s="4" t="s">
        <v>193</v>
      </c>
      <c r="K5" s="4" t="s">
        <v>92</v>
      </c>
      <c r="L5" s="4" t="s">
        <v>93</v>
      </c>
      <c r="M5" s="4" t="s">
        <v>216</v>
      </c>
      <c r="N5" s="4" t="s">
        <v>83</v>
      </c>
      <c r="O5" s="4" t="s">
        <v>84</v>
      </c>
      <c r="P5" s="4" t="s">
        <v>95</v>
      </c>
      <c r="Q5" s="4" t="s">
        <v>97</v>
      </c>
      <c r="R5" s="4" t="s">
        <v>95</v>
      </c>
      <c r="S5" s="5">
        <v>46154</v>
      </c>
      <c r="T5" s="4"/>
      <c r="U5" s="4" t="s">
        <v>95</v>
      </c>
      <c r="V5" s="4" t="s">
        <v>225</v>
      </c>
      <c r="W5" s="4" t="s">
        <v>88</v>
      </c>
      <c r="X5" s="5">
        <v>46179</v>
      </c>
      <c r="Y5" s="4" t="s">
        <v>239</v>
      </c>
    </row>
    <row r="6" spans="1:25" x14ac:dyDescent="0.35">
      <c r="A6" s="4" t="s">
        <v>29</v>
      </c>
      <c r="B6" s="4" t="s">
        <v>100</v>
      </c>
      <c r="C6" s="9" t="s">
        <v>123</v>
      </c>
      <c r="D6" s="4" t="s">
        <v>55</v>
      </c>
      <c r="E6" s="4" t="s">
        <v>146</v>
      </c>
      <c r="F6" s="4" t="s">
        <v>146</v>
      </c>
      <c r="G6" s="4" t="s">
        <v>146</v>
      </c>
      <c r="H6" s="4" t="s">
        <v>169</v>
      </c>
      <c r="I6" s="4" t="s">
        <v>194</v>
      </c>
      <c r="J6" s="4" t="s">
        <v>195</v>
      </c>
      <c r="K6" s="4" t="s">
        <v>92</v>
      </c>
      <c r="L6" s="4" t="s">
        <v>93</v>
      </c>
      <c r="M6" s="4" t="s">
        <v>94</v>
      </c>
      <c r="N6" s="4" t="s">
        <v>83</v>
      </c>
      <c r="O6" s="4" t="s">
        <v>84</v>
      </c>
      <c r="P6" s="4" t="s">
        <v>219</v>
      </c>
      <c r="Q6" s="4" t="s">
        <v>85</v>
      </c>
      <c r="R6" s="4" t="s">
        <v>83</v>
      </c>
      <c r="S6" s="5">
        <v>46127</v>
      </c>
      <c r="T6" s="5">
        <v>46141</v>
      </c>
      <c r="U6" s="4" t="s">
        <v>86</v>
      </c>
      <c r="V6" s="4" t="s">
        <v>87</v>
      </c>
      <c r="W6" s="4" t="s">
        <v>234</v>
      </c>
      <c r="X6" s="5">
        <v>46176</v>
      </c>
      <c r="Y6" s="4" t="s">
        <v>240</v>
      </c>
    </row>
    <row r="7" spans="1:25" x14ac:dyDescent="0.35">
      <c r="A7" s="4" t="s">
        <v>30</v>
      </c>
      <c r="B7" s="4" t="s">
        <v>101</v>
      </c>
      <c r="C7" s="4" t="s">
        <v>124</v>
      </c>
      <c r="D7" s="4" t="s">
        <v>56</v>
      </c>
      <c r="E7" s="4" t="s">
        <v>147</v>
      </c>
      <c r="F7" s="4" t="s">
        <v>147</v>
      </c>
      <c r="G7" s="4" t="s">
        <v>148</v>
      </c>
      <c r="H7" s="4" t="s">
        <v>170</v>
      </c>
      <c r="I7" s="4" t="s">
        <v>196</v>
      </c>
      <c r="J7" s="4" t="s">
        <v>200</v>
      </c>
      <c r="K7" s="4" t="s">
        <v>92</v>
      </c>
      <c r="L7" s="4" t="s">
        <v>93</v>
      </c>
      <c r="M7" s="4" t="s">
        <v>82</v>
      </c>
      <c r="N7" s="4" t="s">
        <v>83</v>
      </c>
      <c r="O7" s="4" t="s">
        <v>218</v>
      </c>
      <c r="P7" s="4" t="s">
        <v>218</v>
      </c>
      <c r="Q7" s="4" t="s">
        <v>85</v>
      </c>
      <c r="R7" s="4" t="s">
        <v>221</v>
      </c>
      <c r="S7" s="5">
        <v>46143</v>
      </c>
      <c r="T7" s="4"/>
      <c r="U7" s="4" t="s">
        <v>222</v>
      </c>
      <c r="V7" s="4" t="s">
        <v>226</v>
      </c>
      <c r="W7" s="4" t="s">
        <v>234</v>
      </c>
      <c r="X7" s="5">
        <v>46180</v>
      </c>
      <c r="Y7" s="4" t="s">
        <v>241</v>
      </c>
    </row>
    <row r="8" spans="1:25" x14ac:dyDescent="0.35">
      <c r="A8" s="4" t="s">
        <v>31</v>
      </c>
      <c r="B8" s="4" t="s">
        <v>102</v>
      </c>
      <c r="C8" s="4" t="s">
        <v>125</v>
      </c>
      <c r="D8" s="4" t="s">
        <v>57</v>
      </c>
      <c r="E8" s="4" t="s">
        <v>148</v>
      </c>
      <c r="F8" s="4" t="s">
        <v>148</v>
      </c>
      <c r="G8" s="4" t="s">
        <v>148</v>
      </c>
      <c r="H8" s="4" t="s">
        <v>171</v>
      </c>
      <c r="I8" s="4" t="s">
        <v>197</v>
      </c>
      <c r="J8" s="4" t="s">
        <v>201</v>
      </c>
      <c r="K8" s="4" t="s">
        <v>92</v>
      </c>
      <c r="L8" s="4" t="s">
        <v>93</v>
      </c>
      <c r="M8" s="4" t="s">
        <v>216</v>
      </c>
      <c r="N8" s="4" t="s">
        <v>83</v>
      </c>
      <c r="O8" s="4" t="s">
        <v>84</v>
      </c>
      <c r="P8" s="4" t="s">
        <v>84</v>
      </c>
      <c r="Q8" s="4" t="s">
        <v>85</v>
      </c>
      <c r="R8" s="4" t="s">
        <v>83</v>
      </c>
      <c r="S8" s="5">
        <v>46109</v>
      </c>
      <c r="T8" s="5">
        <v>46124</v>
      </c>
      <c r="U8" s="4" t="s">
        <v>86</v>
      </c>
      <c r="V8" s="4" t="s">
        <v>87</v>
      </c>
      <c r="W8" s="4" t="s">
        <v>88</v>
      </c>
      <c r="X8" s="5">
        <v>46176</v>
      </c>
      <c r="Y8" s="4" t="s">
        <v>242</v>
      </c>
    </row>
    <row r="9" spans="1:25" x14ac:dyDescent="0.35">
      <c r="A9" s="4" t="s">
        <v>32</v>
      </c>
      <c r="B9" s="4" t="s">
        <v>103</v>
      </c>
      <c r="C9" s="4" t="s">
        <v>126</v>
      </c>
      <c r="D9" s="4" t="s">
        <v>58</v>
      </c>
      <c r="E9" s="4" t="s">
        <v>149</v>
      </c>
      <c r="F9" s="4" t="s">
        <v>149</v>
      </c>
      <c r="G9" s="4" t="s">
        <v>149</v>
      </c>
      <c r="H9" s="4" t="s">
        <v>172</v>
      </c>
      <c r="I9" s="4" t="s">
        <v>78</v>
      </c>
      <c r="J9" s="4" t="s">
        <v>79</v>
      </c>
      <c r="K9" s="4" t="s">
        <v>80</v>
      </c>
      <c r="L9" s="4" t="s">
        <v>210</v>
      </c>
      <c r="M9" s="4" t="s">
        <v>82</v>
      </c>
      <c r="N9" s="4" t="s">
        <v>83</v>
      </c>
      <c r="O9" s="4" t="s">
        <v>218</v>
      </c>
      <c r="P9" s="4" t="s">
        <v>95</v>
      </c>
      <c r="Q9" s="4" t="s">
        <v>85</v>
      </c>
      <c r="R9" s="4" t="s">
        <v>217</v>
      </c>
      <c r="S9" s="5">
        <v>46137</v>
      </c>
      <c r="T9" s="4"/>
      <c r="U9" s="4" t="s">
        <v>222</v>
      </c>
      <c r="V9" s="4" t="s">
        <v>227</v>
      </c>
      <c r="W9" s="4" t="s">
        <v>235</v>
      </c>
      <c r="X9" s="5">
        <v>46178</v>
      </c>
      <c r="Y9" s="4" t="s">
        <v>243</v>
      </c>
    </row>
    <row r="10" spans="1:25" x14ac:dyDescent="0.35">
      <c r="A10" s="4" t="s">
        <v>33</v>
      </c>
      <c r="B10" s="4" t="s">
        <v>104</v>
      </c>
      <c r="C10" s="4" t="s">
        <v>127</v>
      </c>
      <c r="D10" s="4" t="s">
        <v>59</v>
      </c>
      <c r="E10" s="4" t="s">
        <v>150</v>
      </c>
      <c r="F10" s="4" t="s">
        <v>150</v>
      </c>
      <c r="G10" s="4" t="s">
        <v>150</v>
      </c>
      <c r="H10" s="4" t="s">
        <v>173</v>
      </c>
      <c r="I10" s="4" t="s">
        <v>90</v>
      </c>
      <c r="J10" s="4" t="s">
        <v>198</v>
      </c>
      <c r="K10" s="4" t="s">
        <v>92</v>
      </c>
      <c r="L10" s="4" t="s">
        <v>93</v>
      </c>
      <c r="M10" s="4" t="s">
        <v>94</v>
      </c>
      <c r="N10" s="4" t="s">
        <v>83</v>
      </c>
      <c r="O10" s="4" t="s">
        <v>218</v>
      </c>
      <c r="P10" s="4" t="s">
        <v>220</v>
      </c>
      <c r="Q10" s="4" t="s">
        <v>85</v>
      </c>
      <c r="R10" s="4" t="s">
        <v>221</v>
      </c>
      <c r="S10" s="5">
        <v>46150</v>
      </c>
      <c r="T10" s="4"/>
      <c r="U10" s="4" t="s">
        <v>222</v>
      </c>
      <c r="V10" s="4" t="s">
        <v>228</v>
      </c>
      <c r="W10" s="4" t="s">
        <v>235</v>
      </c>
      <c r="X10" s="5">
        <v>46177</v>
      </c>
      <c r="Y10" s="4" t="s">
        <v>244</v>
      </c>
    </row>
    <row r="11" spans="1:25" x14ac:dyDescent="0.35">
      <c r="A11" s="4" t="s">
        <v>34</v>
      </c>
      <c r="B11" s="4" t="s">
        <v>105</v>
      </c>
      <c r="C11" s="4" t="s">
        <v>128</v>
      </c>
      <c r="D11" s="4" t="s">
        <v>60</v>
      </c>
      <c r="E11" s="4" t="s">
        <v>151</v>
      </c>
      <c r="F11" s="4" t="s">
        <v>151</v>
      </c>
      <c r="G11" s="4" t="s">
        <v>151</v>
      </c>
      <c r="H11" s="4" t="s">
        <v>174</v>
      </c>
      <c r="I11" s="4" t="s">
        <v>196</v>
      </c>
      <c r="J11" s="4" t="s">
        <v>200</v>
      </c>
      <c r="K11" s="4" t="s">
        <v>92</v>
      </c>
      <c r="L11" s="4" t="s">
        <v>93</v>
      </c>
      <c r="M11" s="4" t="s">
        <v>82</v>
      </c>
      <c r="N11" s="4" t="s">
        <v>217</v>
      </c>
      <c r="O11" s="4" t="s">
        <v>96</v>
      </c>
      <c r="P11" s="4" t="s">
        <v>96</v>
      </c>
      <c r="Q11" s="4" t="s">
        <v>97</v>
      </c>
      <c r="R11" s="4" t="s">
        <v>96</v>
      </c>
      <c r="S11" s="5">
        <v>46162</v>
      </c>
      <c r="T11" s="4"/>
      <c r="U11" s="4" t="s">
        <v>95</v>
      </c>
      <c r="V11" s="4" t="s">
        <v>229</v>
      </c>
      <c r="W11" s="4" t="s">
        <v>88</v>
      </c>
      <c r="X11" s="5">
        <v>46183</v>
      </c>
      <c r="Y11" s="4" t="s">
        <v>245</v>
      </c>
    </row>
    <row r="12" spans="1:25" x14ac:dyDescent="0.35">
      <c r="A12" s="4" t="s">
        <v>35</v>
      </c>
      <c r="B12" s="4" t="s">
        <v>106</v>
      </c>
      <c r="C12" s="4" t="s">
        <v>129</v>
      </c>
      <c r="D12" s="4" t="s">
        <v>61</v>
      </c>
      <c r="E12" s="4" t="s">
        <v>152</v>
      </c>
      <c r="F12" s="4" t="s">
        <v>152</v>
      </c>
      <c r="G12" s="4" t="s">
        <v>61</v>
      </c>
      <c r="H12" s="4" t="s">
        <v>175</v>
      </c>
      <c r="I12" s="4" t="s">
        <v>194</v>
      </c>
      <c r="J12" s="4" t="s">
        <v>195</v>
      </c>
      <c r="K12" s="4" t="s">
        <v>92</v>
      </c>
      <c r="L12" s="4" t="s">
        <v>93</v>
      </c>
      <c r="M12" s="4" t="s">
        <v>216</v>
      </c>
      <c r="N12" s="4" t="s">
        <v>83</v>
      </c>
      <c r="O12" s="4" t="s">
        <v>84</v>
      </c>
      <c r="P12" s="4" t="s">
        <v>218</v>
      </c>
      <c r="Q12" s="4" t="s">
        <v>85</v>
      </c>
      <c r="R12" s="4" t="s">
        <v>221</v>
      </c>
      <c r="S12" s="5">
        <v>46142</v>
      </c>
      <c r="T12" s="4"/>
      <c r="U12" s="4" t="s">
        <v>222</v>
      </c>
      <c r="V12" s="4" t="s">
        <v>223</v>
      </c>
      <c r="W12" s="4" t="s">
        <v>88</v>
      </c>
      <c r="X12" s="5">
        <v>46179</v>
      </c>
      <c r="Y12" s="4" t="s">
        <v>246</v>
      </c>
    </row>
    <row r="13" spans="1:25" x14ac:dyDescent="0.35">
      <c r="A13" s="4" t="s">
        <v>36</v>
      </c>
      <c r="B13" s="4" t="s">
        <v>107</v>
      </c>
      <c r="C13" s="4" t="s">
        <v>130</v>
      </c>
      <c r="D13" s="4" t="s">
        <v>62</v>
      </c>
      <c r="E13" s="4" t="s">
        <v>153</v>
      </c>
      <c r="F13" s="4" t="s">
        <v>153</v>
      </c>
      <c r="G13" s="4" t="s">
        <v>153</v>
      </c>
      <c r="H13" s="4" t="s">
        <v>176</v>
      </c>
      <c r="I13" s="4" t="s">
        <v>191</v>
      </c>
      <c r="J13" s="4" t="s">
        <v>193</v>
      </c>
      <c r="K13" s="4" t="s">
        <v>92</v>
      </c>
      <c r="L13" s="4" t="s">
        <v>93</v>
      </c>
      <c r="M13" s="4" t="s">
        <v>82</v>
      </c>
      <c r="N13" s="4" t="s">
        <v>83</v>
      </c>
      <c r="O13" s="4" t="s">
        <v>95</v>
      </c>
      <c r="P13" s="4" t="s">
        <v>95</v>
      </c>
      <c r="Q13" s="4" t="s">
        <v>85</v>
      </c>
      <c r="R13" s="4" t="s">
        <v>217</v>
      </c>
      <c r="S13" s="5">
        <v>46160</v>
      </c>
      <c r="T13" s="4"/>
      <c r="U13" s="4" t="s">
        <v>95</v>
      </c>
      <c r="V13" s="4" t="s">
        <v>230</v>
      </c>
      <c r="W13" s="4" t="s">
        <v>88</v>
      </c>
      <c r="X13" s="5">
        <v>46181</v>
      </c>
      <c r="Y13" s="4" t="s">
        <v>247</v>
      </c>
    </row>
    <row r="14" spans="1:25" x14ac:dyDescent="0.35">
      <c r="A14" s="4" t="s">
        <v>37</v>
      </c>
      <c r="B14" s="4" t="s">
        <v>108</v>
      </c>
      <c r="C14" s="4" t="s">
        <v>131</v>
      </c>
      <c r="D14" s="4" t="s">
        <v>63</v>
      </c>
      <c r="E14" s="4" t="s">
        <v>154</v>
      </c>
      <c r="F14" s="4" t="s">
        <v>154</v>
      </c>
      <c r="G14" s="4" t="s">
        <v>154</v>
      </c>
      <c r="H14" s="4" t="s">
        <v>177</v>
      </c>
      <c r="I14" s="4" t="s">
        <v>190</v>
      </c>
      <c r="J14" s="4" t="s">
        <v>199</v>
      </c>
      <c r="K14" s="4" t="s">
        <v>80</v>
      </c>
      <c r="L14" s="4" t="s">
        <v>211</v>
      </c>
      <c r="M14" s="4" t="s">
        <v>94</v>
      </c>
      <c r="N14" s="4" t="s">
        <v>83</v>
      </c>
      <c r="O14" s="4" t="s">
        <v>84</v>
      </c>
      <c r="P14" s="4" t="s">
        <v>219</v>
      </c>
      <c r="Q14" s="4" t="s">
        <v>85</v>
      </c>
      <c r="R14" s="4" t="s">
        <v>83</v>
      </c>
      <c r="S14" s="5">
        <v>46117</v>
      </c>
      <c r="T14" s="5">
        <v>46133</v>
      </c>
      <c r="U14" s="4" t="s">
        <v>86</v>
      </c>
      <c r="V14" s="4" t="s">
        <v>87</v>
      </c>
      <c r="W14" s="4" t="s">
        <v>235</v>
      </c>
      <c r="X14" s="5">
        <v>46176</v>
      </c>
      <c r="Y14" s="4" t="s">
        <v>248</v>
      </c>
    </row>
    <row r="15" spans="1:25" x14ac:dyDescent="0.35">
      <c r="A15" s="4" t="s">
        <v>38</v>
      </c>
      <c r="B15" s="4" t="s">
        <v>109</v>
      </c>
      <c r="C15" s="4" t="s">
        <v>132</v>
      </c>
      <c r="D15" s="4" t="s">
        <v>64</v>
      </c>
      <c r="E15" s="4" t="s">
        <v>155</v>
      </c>
      <c r="F15" s="4" t="s">
        <v>155</v>
      </c>
      <c r="G15" s="4" t="s">
        <v>155</v>
      </c>
      <c r="H15" s="4" t="s">
        <v>178</v>
      </c>
      <c r="I15" s="4" t="s">
        <v>197</v>
      </c>
      <c r="J15" s="4" t="s">
        <v>201</v>
      </c>
      <c r="K15" s="4" t="s">
        <v>92</v>
      </c>
      <c r="L15" s="4" t="s">
        <v>93</v>
      </c>
      <c r="M15" s="4" t="s">
        <v>82</v>
      </c>
      <c r="N15" s="4" t="s">
        <v>83</v>
      </c>
      <c r="O15" s="4" t="s">
        <v>95</v>
      </c>
      <c r="P15" s="4" t="s">
        <v>95</v>
      </c>
      <c r="Q15" s="4" t="s">
        <v>97</v>
      </c>
      <c r="R15" s="4" t="s">
        <v>95</v>
      </c>
      <c r="S15" s="5">
        <v>46152</v>
      </c>
      <c r="T15" s="4"/>
      <c r="U15" s="4" t="s">
        <v>95</v>
      </c>
      <c r="V15" s="4" t="s">
        <v>225</v>
      </c>
      <c r="W15" s="4" t="s">
        <v>234</v>
      </c>
      <c r="X15" s="5">
        <v>46179</v>
      </c>
      <c r="Y15" s="4" t="s">
        <v>249</v>
      </c>
    </row>
    <row r="16" spans="1:25" x14ac:dyDescent="0.35">
      <c r="A16" s="4" t="s">
        <v>39</v>
      </c>
      <c r="B16" s="4" t="s">
        <v>110</v>
      </c>
      <c r="C16" s="4" t="s">
        <v>133</v>
      </c>
      <c r="D16" s="4" t="s">
        <v>65</v>
      </c>
      <c r="E16" s="4" t="s">
        <v>156</v>
      </c>
      <c r="F16" s="4" t="s">
        <v>156</v>
      </c>
      <c r="G16" s="4" t="s">
        <v>157</v>
      </c>
      <c r="H16" s="4" t="s">
        <v>179</v>
      </c>
      <c r="I16" s="4" t="s">
        <v>78</v>
      </c>
      <c r="J16" s="4" t="s">
        <v>79</v>
      </c>
      <c r="K16" s="4" t="s">
        <v>80</v>
      </c>
      <c r="L16" s="4" t="s">
        <v>212</v>
      </c>
      <c r="M16" s="4" t="s">
        <v>82</v>
      </c>
      <c r="N16" s="4" t="s">
        <v>83</v>
      </c>
      <c r="O16" s="4" t="s">
        <v>218</v>
      </c>
      <c r="P16" s="4" t="s">
        <v>218</v>
      </c>
      <c r="Q16" s="4" t="s">
        <v>85</v>
      </c>
      <c r="R16" s="4" t="s">
        <v>221</v>
      </c>
      <c r="S16" s="5">
        <v>46129</v>
      </c>
      <c r="T16" s="4"/>
      <c r="U16" s="4" t="s">
        <v>222</v>
      </c>
      <c r="V16" s="4" t="s">
        <v>226</v>
      </c>
      <c r="W16" s="4" t="s">
        <v>234</v>
      </c>
      <c r="X16" s="5">
        <v>46178</v>
      </c>
      <c r="Y16" s="4" t="s">
        <v>250</v>
      </c>
    </row>
    <row r="17" spans="1:25" x14ac:dyDescent="0.35">
      <c r="A17" s="4" t="s">
        <v>40</v>
      </c>
      <c r="B17" s="4" t="s">
        <v>111</v>
      </c>
      <c r="C17" s="4" t="s">
        <v>134</v>
      </c>
      <c r="D17" s="4" t="s">
        <v>66</v>
      </c>
      <c r="E17" s="4" t="s">
        <v>157</v>
      </c>
      <c r="F17" s="4" t="s">
        <v>157</v>
      </c>
      <c r="G17" s="4" t="s">
        <v>157</v>
      </c>
      <c r="H17" s="4" t="s">
        <v>180</v>
      </c>
      <c r="I17" s="4" t="s">
        <v>90</v>
      </c>
      <c r="J17" s="4" t="s">
        <v>202</v>
      </c>
      <c r="K17" s="4" t="s">
        <v>92</v>
      </c>
      <c r="L17" s="4" t="s">
        <v>93</v>
      </c>
      <c r="M17" s="4" t="s">
        <v>94</v>
      </c>
      <c r="N17" s="4" t="s">
        <v>83</v>
      </c>
      <c r="O17" s="4" t="s">
        <v>84</v>
      </c>
      <c r="P17" s="4" t="s">
        <v>219</v>
      </c>
      <c r="Q17" s="4" t="s">
        <v>85</v>
      </c>
      <c r="R17" s="4" t="s">
        <v>83</v>
      </c>
      <c r="S17" s="5">
        <v>46144</v>
      </c>
      <c r="T17" s="5">
        <v>46158</v>
      </c>
      <c r="U17" s="4" t="s">
        <v>86</v>
      </c>
      <c r="V17" s="4" t="s">
        <v>87</v>
      </c>
      <c r="W17" s="4" t="s">
        <v>234</v>
      </c>
      <c r="X17" s="5">
        <v>46176</v>
      </c>
      <c r="Y17" s="4" t="s">
        <v>251</v>
      </c>
    </row>
    <row r="18" spans="1:25" x14ac:dyDescent="0.35">
      <c r="A18" s="4" t="s">
        <v>41</v>
      </c>
      <c r="B18" s="4" t="s">
        <v>112</v>
      </c>
      <c r="C18" s="4" t="s">
        <v>135</v>
      </c>
      <c r="D18" s="4" t="s">
        <v>67</v>
      </c>
      <c r="E18" s="4" t="s">
        <v>158</v>
      </c>
      <c r="F18" s="4" t="s">
        <v>158</v>
      </c>
      <c r="G18" s="4" t="s">
        <v>158</v>
      </c>
      <c r="H18" s="4" t="s">
        <v>181</v>
      </c>
      <c r="I18" s="4" t="s">
        <v>196</v>
      </c>
      <c r="J18" s="4" t="s">
        <v>200</v>
      </c>
      <c r="K18" s="4" t="s">
        <v>92</v>
      </c>
      <c r="L18" s="4" t="s">
        <v>93</v>
      </c>
      <c r="M18" s="4" t="s">
        <v>216</v>
      </c>
      <c r="N18" s="4" t="s">
        <v>83</v>
      </c>
      <c r="O18" s="4" t="s">
        <v>84</v>
      </c>
      <c r="P18" s="4" t="s">
        <v>95</v>
      </c>
      <c r="Q18" s="4" t="s">
        <v>85</v>
      </c>
      <c r="R18" s="4" t="s">
        <v>217</v>
      </c>
      <c r="S18" s="5">
        <v>46153</v>
      </c>
      <c r="T18" s="4"/>
      <c r="U18" s="4" t="s">
        <v>95</v>
      </c>
      <c r="V18" s="4" t="s">
        <v>231</v>
      </c>
      <c r="W18" s="4" t="s">
        <v>235</v>
      </c>
      <c r="X18" s="5">
        <v>46180</v>
      </c>
      <c r="Y18" s="4" t="s">
        <v>252</v>
      </c>
    </row>
    <row r="19" spans="1:25" x14ac:dyDescent="0.35">
      <c r="A19" s="4" t="s">
        <v>42</v>
      </c>
      <c r="B19" s="4" t="s">
        <v>113</v>
      </c>
      <c r="C19" s="4" t="s">
        <v>136</v>
      </c>
      <c r="D19" s="4" t="s">
        <v>68</v>
      </c>
      <c r="E19" s="4" t="s">
        <v>159</v>
      </c>
      <c r="F19" s="4" t="s">
        <v>159</v>
      </c>
      <c r="G19" s="4" t="s">
        <v>159</v>
      </c>
      <c r="H19" s="4" t="s">
        <v>182</v>
      </c>
      <c r="I19" s="4" t="s">
        <v>194</v>
      </c>
      <c r="J19" s="4" t="s">
        <v>203</v>
      </c>
      <c r="K19" s="4" t="s">
        <v>92</v>
      </c>
      <c r="L19" s="4" t="s">
        <v>93</v>
      </c>
      <c r="M19" s="4" t="s">
        <v>82</v>
      </c>
      <c r="N19" s="4" t="s">
        <v>83</v>
      </c>
      <c r="O19" s="4" t="s">
        <v>218</v>
      </c>
      <c r="P19" s="4" t="s">
        <v>95</v>
      </c>
      <c r="Q19" s="4" t="s">
        <v>85</v>
      </c>
      <c r="R19" s="4" t="s">
        <v>221</v>
      </c>
      <c r="S19" s="5">
        <v>46148</v>
      </c>
      <c r="T19" s="4"/>
      <c r="U19" s="4" t="s">
        <v>222</v>
      </c>
      <c r="V19" s="4" t="s">
        <v>232</v>
      </c>
      <c r="W19" s="4" t="s">
        <v>235</v>
      </c>
      <c r="X19" s="5">
        <v>46177</v>
      </c>
      <c r="Y19" s="4" t="s">
        <v>253</v>
      </c>
    </row>
    <row r="20" spans="1:25" x14ac:dyDescent="0.35">
      <c r="A20" s="4" t="s">
        <v>43</v>
      </c>
      <c r="B20" s="4" t="s">
        <v>114</v>
      </c>
      <c r="C20" s="4" t="s">
        <v>137</v>
      </c>
      <c r="D20" s="4" t="s">
        <v>69</v>
      </c>
      <c r="E20" s="4" t="s">
        <v>160</v>
      </c>
      <c r="F20" s="4" t="s">
        <v>160</v>
      </c>
      <c r="G20" s="4" t="s">
        <v>160</v>
      </c>
      <c r="H20" s="4" t="s">
        <v>183</v>
      </c>
      <c r="I20" s="4" t="s">
        <v>78</v>
      </c>
      <c r="J20" s="4" t="s">
        <v>79</v>
      </c>
      <c r="K20" s="4" t="s">
        <v>80</v>
      </c>
      <c r="L20" s="4" t="s">
        <v>213</v>
      </c>
      <c r="M20" s="4" t="s">
        <v>82</v>
      </c>
      <c r="N20" s="4" t="s">
        <v>83</v>
      </c>
      <c r="O20" s="4" t="s">
        <v>95</v>
      </c>
      <c r="P20" s="4" t="s">
        <v>95</v>
      </c>
      <c r="Q20" s="4" t="s">
        <v>85</v>
      </c>
      <c r="R20" s="4" t="s">
        <v>217</v>
      </c>
      <c r="S20" s="5">
        <v>46156</v>
      </c>
      <c r="T20" s="4"/>
      <c r="U20" s="4" t="s">
        <v>95</v>
      </c>
      <c r="V20" s="4" t="s">
        <v>233</v>
      </c>
      <c r="W20" s="4" t="s">
        <v>88</v>
      </c>
      <c r="X20" s="5">
        <v>46182</v>
      </c>
      <c r="Y20" s="4" t="s">
        <v>254</v>
      </c>
    </row>
    <row r="21" spans="1:25" x14ac:dyDescent="0.35">
      <c r="A21" s="4" t="s">
        <v>44</v>
      </c>
      <c r="B21" s="4" t="s">
        <v>115</v>
      </c>
      <c r="C21" s="4" t="s">
        <v>138</v>
      </c>
      <c r="D21" s="4" t="s">
        <v>70</v>
      </c>
      <c r="E21" s="4" t="s">
        <v>161</v>
      </c>
      <c r="F21" s="4" t="s">
        <v>161</v>
      </c>
      <c r="G21" s="4" t="s">
        <v>161</v>
      </c>
      <c r="H21" s="4" t="s">
        <v>184</v>
      </c>
      <c r="I21" s="4" t="s">
        <v>191</v>
      </c>
      <c r="J21" s="4" t="s">
        <v>204</v>
      </c>
      <c r="K21" s="4" t="s">
        <v>92</v>
      </c>
      <c r="L21" s="4" t="s">
        <v>93</v>
      </c>
      <c r="M21" s="4" t="s">
        <v>82</v>
      </c>
      <c r="N21" s="4" t="s">
        <v>83</v>
      </c>
      <c r="O21" s="4" t="s">
        <v>84</v>
      </c>
      <c r="P21" s="4" t="s">
        <v>84</v>
      </c>
      <c r="Q21" s="4" t="s">
        <v>85</v>
      </c>
      <c r="R21" s="4" t="s">
        <v>83</v>
      </c>
      <c r="S21" s="5">
        <v>46121</v>
      </c>
      <c r="T21" s="5">
        <v>46136</v>
      </c>
      <c r="U21" s="4" t="s">
        <v>86</v>
      </c>
      <c r="V21" s="4" t="s">
        <v>87</v>
      </c>
      <c r="W21" s="4" t="s">
        <v>88</v>
      </c>
      <c r="X21" s="5">
        <v>46176</v>
      </c>
      <c r="Y21" s="4" t="s">
        <v>255</v>
      </c>
    </row>
    <row r="22" spans="1:25" x14ac:dyDescent="0.35">
      <c r="A22" s="4" t="s">
        <v>45</v>
      </c>
      <c r="B22" s="4" t="s">
        <v>116</v>
      </c>
      <c r="C22" s="4" t="s">
        <v>139</v>
      </c>
      <c r="D22" s="4" t="s">
        <v>71</v>
      </c>
      <c r="E22" s="4" t="s">
        <v>162</v>
      </c>
      <c r="F22" s="4" t="s">
        <v>162</v>
      </c>
      <c r="G22" s="4" t="s">
        <v>71</v>
      </c>
      <c r="H22" s="4" t="s">
        <v>185</v>
      </c>
      <c r="I22" s="4" t="s">
        <v>197</v>
      </c>
      <c r="J22" s="4" t="s">
        <v>205</v>
      </c>
      <c r="K22" s="4" t="s">
        <v>92</v>
      </c>
      <c r="L22" s="4" t="s">
        <v>93</v>
      </c>
      <c r="M22" s="4" t="s">
        <v>94</v>
      </c>
      <c r="N22" s="4" t="s">
        <v>83</v>
      </c>
      <c r="O22" s="4" t="s">
        <v>218</v>
      </c>
      <c r="P22" s="4" t="s">
        <v>219</v>
      </c>
      <c r="Q22" s="4" t="s">
        <v>85</v>
      </c>
      <c r="R22" s="4" t="s">
        <v>221</v>
      </c>
      <c r="S22" s="5">
        <v>46151</v>
      </c>
      <c r="T22" s="4"/>
      <c r="U22" s="4" t="s">
        <v>222</v>
      </c>
      <c r="V22" s="4" t="s">
        <v>223</v>
      </c>
      <c r="W22" s="4" t="s">
        <v>88</v>
      </c>
      <c r="X22" s="5">
        <v>46179</v>
      </c>
      <c r="Y22" s="4" t="s">
        <v>256</v>
      </c>
    </row>
    <row r="23" spans="1:25" x14ac:dyDescent="0.35">
      <c r="A23" s="4" t="s">
        <v>46</v>
      </c>
      <c r="B23" s="4" t="s">
        <v>117</v>
      </c>
      <c r="C23" s="4" t="s">
        <v>140</v>
      </c>
      <c r="D23" s="4" t="s">
        <v>72</v>
      </c>
      <c r="E23" s="4" t="s">
        <v>163</v>
      </c>
      <c r="F23" s="4" t="s">
        <v>163</v>
      </c>
      <c r="G23" s="4" t="s">
        <v>163</v>
      </c>
      <c r="H23" s="4" t="s">
        <v>186</v>
      </c>
      <c r="I23" s="4" t="s">
        <v>190</v>
      </c>
      <c r="J23" s="4" t="s">
        <v>214</v>
      </c>
      <c r="K23" s="4" t="s">
        <v>92</v>
      </c>
      <c r="L23" s="4" t="s">
        <v>215</v>
      </c>
      <c r="M23" s="4" t="s">
        <v>82</v>
      </c>
      <c r="N23" s="4" t="s">
        <v>83</v>
      </c>
      <c r="O23" s="4" t="s">
        <v>218</v>
      </c>
      <c r="P23" s="4" t="s">
        <v>95</v>
      </c>
      <c r="Q23" s="4" t="s">
        <v>85</v>
      </c>
      <c r="R23" s="4" t="s">
        <v>221</v>
      </c>
      <c r="S23" s="5">
        <v>46140</v>
      </c>
      <c r="T23" s="4"/>
      <c r="U23" s="4" t="s">
        <v>222</v>
      </c>
      <c r="V23" s="4" t="s">
        <v>227</v>
      </c>
      <c r="W23" s="4" t="s">
        <v>88</v>
      </c>
      <c r="X23" s="5">
        <v>46178</v>
      </c>
      <c r="Y23" s="4" t="s">
        <v>257</v>
      </c>
    </row>
    <row r="24" spans="1:25" x14ac:dyDescent="0.35">
      <c r="A24" s="4" t="s">
        <v>47</v>
      </c>
      <c r="B24" s="4" t="s">
        <v>118</v>
      </c>
      <c r="C24" s="4" t="s">
        <v>141</v>
      </c>
      <c r="D24" s="4" t="s">
        <v>73</v>
      </c>
      <c r="E24" s="4" t="s">
        <v>164</v>
      </c>
      <c r="F24" s="4" t="s">
        <v>164</v>
      </c>
      <c r="G24" s="4" t="s">
        <v>164</v>
      </c>
      <c r="H24" s="4" t="s">
        <v>187</v>
      </c>
      <c r="I24" s="4" t="s">
        <v>90</v>
      </c>
      <c r="J24" s="4" t="s">
        <v>206</v>
      </c>
      <c r="K24" s="4" t="s">
        <v>92</v>
      </c>
      <c r="L24" s="4" t="s">
        <v>93</v>
      </c>
      <c r="M24" s="4" t="s">
        <v>216</v>
      </c>
      <c r="N24" s="4" t="s">
        <v>83</v>
      </c>
      <c r="O24" s="4" t="s">
        <v>84</v>
      </c>
      <c r="P24" s="4" t="s">
        <v>95</v>
      </c>
      <c r="Q24" s="4" t="s">
        <v>97</v>
      </c>
      <c r="R24" s="4" t="s">
        <v>95</v>
      </c>
      <c r="S24" s="5">
        <v>46157</v>
      </c>
      <c r="T24" s="4"/>
      <c r="U24" s="4" t="s">
        <v>95</v>
      </c>
      <c r="V24" s="4" t="s">
        <v>225</v>
      </c>
      <c r="W24" s="4" t="s">
        <v>236</v>
      </c>
      <c r="X24" s="5">
        <v>46181</v>
      </c>
      <c r="Y24" s="4" t="s">
        <v>258</v>
      </c>
    </row>
    <row r="25" spans="1:25" x14ac:dyDescent="0.35">
      <c r="A25" s="4" t="s">
        <v>48</v>
      </c>
      <c r="B25" s="4" t="s">
        <v>119</v>
      </c>
      <c r="C25" s="4" t="s">
        <v>142</v>
      </c>
      <c r="D25" s="4" t="s">
        <v>74</v>
      </c>
      <c r="E25" s="4" t="s">
        <v>165</v>
      </c>
      <c r="F25" s="4" t="s">
        <v>165</v>
      </c>
      <c r="G25" s="4" t="s">
        <v>165</v>
      </c>
      <c r="H25" s="4" t="s">
        <v>188</v>
      </c>
      <c r="I25" s="4" t="s">
        <v>196</v>
      </c>
      <c r="J25" s="4" t="s">
        <v>207</v>
      </c>
      <c r="K25" s="4" t="s">
        <v>92</v>
      </c>
      <c r="L25" s="4" t="s">
        <v>93</v>
      </c>
      <c r="M25" s="4" t="s">
        <v>82</v>
      </c>
      <c r="N25" s="4" t="s">
        <v>217</v>
      </c>
      <c r="O25" s="4" t="s">
        <v>96</v>
      </c>
      <c r="P25" s="4" t="s">
        <v>96</v>
      </c>
      <c r="Q25" s="4" t="s">
        <v>97</v>
      </c>
      <c r="R25" s="4" t="s">
        <v>96</v>
      </c>
      <c r="S25" s="5">
        <v>46164</v>
      </c>
      <c r="T25" s="4"/>
      <c r="U25" s="4" t="s">
        <v>95</v>
      </c>
      <c r="V25" s="4" t="s">
        <v>229</v>
      </c>
      <c r="W25" s="4" t="s">
        <v>235</v>
      </c>
      <c r="X25" s="5">
        <v>46184</v>
      </c>
      <c r="Y25" s="4" t="s">
        <v>259</v>
      </c>
    </row>
    <row r="26" spans="1:25" x14ac:dyDescent="0.35">
      <c r="A26" s="4" t="s">
        <v>49</v>
      </c>
      <c r="B26" s="4" t="s">
        <v>120</v>
      </c>
      <c r="C26" s="4" t="s">
        <v>143</v>
      </c>
      <c r="D26" s="4" t="s">
        <v>75</v>
      </c>
      <c r="E26" s="4" t="s">
        <v>166</v>
      </c>
      <c r="F26" s="4" t="s">
        <v>166</v>
      </c>
      <c r="G26" s="4" t="s">
        <v>166</v>
      </c>
      <c r="H26" s="4" t="s">
        <v>189</v>
      </c>
      <c r="I26" s="4" t="s">
        <v>194</v>
      </c>
      <c r="J26" s="4" t="s">
        <v>208</v>
      </c>
      <c r="K26" s="4" t="s">
        <v>92</v>
      </c>
      <c r="L26" s="4" t="s">
        <v>93</v>
      </c>
      <c r="M26" s="4" t="s">
        <v>82</v>
      </c>
      <c r="N26" s="4" t="s">
        <v>83</v>
      </c>
      <c r="O26" s="4" t="s">
        <v>84</v>
      </c>
      <c r="P26" s="4" t="s">
        <v>84</v>
      </c>
      <c r="Q26" s="4" t="s">
        <v>85</v>
      </c>
      <c r="R26" s="4" t="s">
        <v>83</v>
      </c>
      <c r="S26" s="5">
        <v>46115</v>
      </c>
      <c r="T26" s="5">
        <v>46131</v>
      </c>
      <c r="U26" s="4" t="s">
        <v>86</v>
      </c>
      <c r="V26" s="4" t="s">
        <v>87</v>
      </c>
      <c r="W26" s="4" t="s">
        <v>88</v>
      </c>
      <c r="X26" s="5">
        <v>46176</v>
      </c>
      <c r="Y26" s="4" t="s">
        <v>89</v>
      </c>
    </row>
  </sheetData>
  <autoFilter ref="A1:Y2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
  <sheetViews>
    <sheetView workbookViewId="0">
      <selection activeCell="AI2" sqref="AI2"/>
    </sheetView>
  </sheetViews>
  <sheetFormatPr defaultRowHeight="14.5" x14ac:dyDescent="0.35"/>
  <cols>
    <col min="1" max="1" width="11.453125" customWidth="1"/>
    <col min="2" max="2" width="24.6328125" bestFit="1" customWidth="1"/>
    <col min="3" max="3" width="18.90625" bestFit="1" customWidth="1"/>
    <col min="4" max="4" width="14.36328125" customWidth="1"/>
    <col min="5" max="5" width="12.26953125" bestFit="1" customWidth="1"/>
    <col min="6" max="6" width="16.90625" customWidth="1"/>
    <col min="7" max="7" width="13.08984375" customWidth="1"/>
    <col min="8" max="8" width="11.08984375" bestFit="1" customWidth="1"/>
    <col min="9" max="9" width="17" bestFit="1" customWidth="1"/>
    <col min="10" max="10" width="9.81640625" customWidth="1"/>
    <col min="11" max="11" width="12" customWidth="1"/>
    <col min="12" max="12" width="22.36328125" customWidth="1"/>
    <col min="13" max="13" width="17" customWidth="1"/>
    <col min="14" max="14" width="19.54296875" customWidth="1"/>
    <col min="15" max="15" width="24.81640625" customWidth="1"/>
    <col min="16" max="16" width="21.54296875" customWidth="1"/>
    <col min="17" max="17" width="14.36328125" customWidth="1"/>
    <col min="18" max="18" width="11.6328125" customWidth="1"/>
    <col min="19" max="19" width="16" customWidth="1"/>
    <col min="20" max="20" width="15.26953125" customWidth="1"/>
    <col min="21" max="21" width="15" customWidth="1"/>
    <col min="22" max="22" width="35.81640625" bestFit="1" customWidth="1"/>
    <col min="23" max="23" width="16.26953125" customWidth="1"/>
    <col min="24" max="24" width="15.54296875" customWidth="1"/>
    <col min="25" max="25" width="44.54296875" bestFit="1" customWidth="1"/>
    <col min="28" max="28" width="15" bestFit="1" customWidth="1"/>
    <col min="29" max="29" width="24.6328125" bestFit="1" customWidth="1"/>
    <col min="30" max="30" width="23.36328125" bestFit="1" customWidth="1"/>
    <col min="31" max="31" width="22.26953125" bestFit="1" customWidth="1"/>
    <col min="32" max="32" width="27.6328125" bestFit="1" customWidth="1"/>
    <col min="33" max="33" width="17.90625" bestFit="1" customWidth="1"/>
    <col min="34" max="34" width="15.7265625" bestFit="1" customWidth="1"/>
  </cols>
  <sheetData>
    <row r="1" spans="1:35" s="13" customFormat="1" x14ac:dyDescent="0.35">
      <c r="A1" s="12" t="s">
        <v>24</v>
      </c>
      <c r="B1" s="13" t="s">
        <v>1</v>
      </c>
      <c r="C1" s="13" t="s">
        <v>0</v>
      </c>
      <c r="D1" s="13" t="s">
        <v>2</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c r="W1" s="13" t="s">
        <v>21</v>
      </c>
      <c r="X1" s="13" t="s">
        <v>22</v>
      </c>
      <c r="Y1" s="14" t="s">
        <v>23</v>
      </c>
      <c r="Z1" s="13" t="s">
        <v>297</v>
      </c>
      <c r="AA1" s="13" t="s">
        <v>298</v>
      </c>
      <c r="AB1" s="13" t="s">
        <v>299</v>
      </c>
      <c r="AC1" s="13" t="s">
        <v>300</v>
      </c>
      <c r="AD1" s="13" t="s">
        <v>301</v>
      </c>
      <c r="AE1" s="13" t="s">
        <v>302</v>
      </c>
      <c r="AF1" s="13" t="s">
        <v>303</v>
      </c>
      <c r="AG1" s="13" t="s">
        <v>304</v>
      </c>
      <c r="AH1" s="13" t="s">
        <v>317</v>
      </c>
      <c r="AI1" s="13" t="s">
        <v>363</v>
      </c>
    </row>
    <row r="2" spans="1:35" s="9" customFormat="1" x14ac:dyDescent="0.35">
      <c r="A2" s="7" t="s">
        <v>25</v>
      </c>
      <c r="B2" s="4" t="s">
        <v>50</v>
      </c>
      <c r="C2" s="4" t="s">
        <v>51</v>
      </c>
      <c r="D2" s="4" t="s">
        <v>52</v>
      </c>
      <c r="E2" s="4" t="s">
        <v>76</v>
      </c>
      <c r="F2" s="4" t="s">
        <v>76</v>
      </c>
      <c r="G2" s="4" t="s">
        <v>76</v>
      </c>
      <c r="H2" s="4" t="s">
        <v>77</v>
      </c>
      <c r="I2" s="4" t="s">
        <v>78</v>
      </c>
      <c r="J2" s="4" t="s">
        <v>79</v>
      </c>
      <c r="K2" s="4" t="s">
        <v>80</v>
      </c>
      <c r="L2" s="4" t="s">
        <v>81</v>
      </c>
      <c r="M2" s="4" t="s">
        <v>82</v>
      </c>
      <c r="N2" s="4" t="s">
        <v>83</v>
      </c>
      <c r="O2" s="4" t="s">
        <v>84</v>
      </c>
      <c r="P2" s="4" t="s">
        <v>84</v>
      </c>
      <c r="Q2" s="4" t="s">
        <v>85</v>
      </c>
      <c r="R2" s="4" t="s">
        <v>83</v>
      </c>
      <c r="S2" s="5">
        <v>46113</v>
      </c>
      <c r="T2" s="5">
        <v>46130</v>
      </c>
      <c r="U2" s="4" t="s">
        <v>86</v>
      </c>
      <c r="V2" s="4" t="s">
        <v>87</v>
      </c>
      <c r="W2" s="4" t="s">
        <v>88</v>
      </c>
      <c r="X2" s="5">
        <v>46176</v>
      </c>
      <c r="Y2" s="6" t="s">
        <v>89</v>
      </c>
      <c r="Z2" s="9">
        <f>IF(tblEnrollment[[#This Row],[Approved date]]="",DATE(2026,6,3)-tblEnrollment[[#This Row],[Submitted Date]],tblEnrollment[[#This Row],[Approved date]]-tblEnrollment[[#This Row],[Submitted Date]])</f>
        <v>17</v>
      </c>
      <c r="AA2" s="9" t="str">
        <f>IF(tblEnrollment[[#This Row],[Current Status]] ="Ready","Completed",IF(Z2&gt;21,"SLA Breached","Within SLA"))</f>
        <v>Completed</v>
      </c>
      <c r="AB2" s="9" t="str">
        <f>IF(tblEnrollment[[#This Row],[Credentialed NPI]] =tblEnrollment[[#This Row],[Enrolled NPI]],"NPI Match","NPI Mismatch")</f>
        <v>NPI Match</v>
      </c>
      <c r="AC2" s="9" t="str">
        <f>IF(OR(tblEnrollment[[#This Row],[Blocked reason]] ="Individual NPI used instead of Group NPI",tblEnrollment[[#This Row],[Blocked reason]] ="Credentialed NPI mismatch",tblEnrollment[[#This Row],[Blocked reason]] ="Incorrect PTAN/Provider number"),"Yes","No")</f>
        <v>No</v>
      </c>
      <c r="AD2" s="9" t="str">
        <f>IF(OR(tblEnrollment[[#This Row],[Blocked reason]] ="Wrong Payer ID",tblEnrollment[[#This Row],[Blocked reason]] ="Old Payer ID used"),"Yes","No")</f>
        <v>No</v>
      </c>
      <c r="AE2" s="9" t="str">
        <f>IF(OR(tblEnrollment[[#This Row],[EEP updated?]]="No",tblEnrollment[[#This Row],[Blocked reason]] ="Clearinghouse portal not updated"),"Yes","No")</f>
        <v>No</v>
      </c>
      <c r="AF2" s="18" t="str">
        <f>IF(OR(tblEnrollment[[#This Row],[Blocked reason]] ="Medicaid additional enrollment is missing",tblEnrollment[[#This Row],[Blocked reason]] ="Incorrect PTAN/Provider number",tblEnrollment[[#This Row],[Blocked reason]] ="Medicare additional enrollment missing"),"Yes","No")</f>
        <v>No</v>
      </c>
      <c r="AG2" s="9" t="str">
        <f>IF(OR(tblEnrollment[[#This Row],[Enrollment Type ]]="Claims",tblEnrollment[[#This Row],[Enrollment Type ]]="Claims and ERA"),IF(AND(tblEnrollment[[#This Row],[Credentialing status]]="Completed",tblEnrollment[[#This Row],[Claims_Enrollment_Status]]="Approved",tblEnrollment[[#This Row],[EEP Status]]="Completed",AB2="NPI Match"),"Ready","Not Ready"),"Not Applicable")</f>
        <v>Ready</v>
      </c>
      <c r="AH2" s="9" t="str">
        <f>IF(OR(tblEnrollment[[#This Row],[Enrollment Type ]]="ERA",tblEnrollment[[#This Row],[Enrollment Type ]]="Claims and ERA"),IF(AND(tblEnrollment[[#This Row],[Credentialing status]]="Completed",tblEnrollment[[#This Row],[ERA Enrollment Status]]="Approved",tblEnrollment[[#This Row],[EEP Status]]="Completed",AB2="NPI Match"),"Ready","Not Ready"),"Not Applicable")</f>
        <v>Ready</v>
      </c>
      <c r="AI2" s="9" t="str">
        <f>IF(tblEnrollment[[#This Row],[Blocked reason]] ="No Blocker","No","Yes")</f>
        <v>No</v>
      </c>
    </row>
    <row r="3" spans="1:35" s="4" customFormat="1" x14ac:dyDescent="0.35">
      <c r="A3" s="7" t="s">
        <v>26</v>
      </c>
      <c r="B3" s="4" t="s">
        <v>50</v>
      </c>
      <c r="C3" s="4" t="s">
        <v>51</v>
      </c>
      <c r="D3" s="4" t="s">
        <v>52</v>
      </c>
      <c r="E3" s="4" t="s">
        <v>76</v>
      </c>
      <c r="F3" s="4" t="s">
        <v>76</v>
      </c>
      <c r="G3" s="4" t="s">
        <v>52</v>
      </c>
      <c r="H3" s="4" t="s">
        <v>77</v>
      </c>
      <c r="I3" s="4" t="s">
        <v>90</v>
      </c>
      <c r="J3" s="4" t="s">
        <v>91</v>
      </c>
      <c r="K3" s="4" t="s">
        <v>92</v>
      </c>
      <c r="L3" s="4" t="s">
        <v>93</v>
      </c>
      <c r="M3" s="4" t="s">
        <v>94</v>
      </c>
      <c r="N3" s="4" t="s">
        <v>83</v>
      </c>
      <c r="O3" s="4" t="s">
        <v>95</v>
      </c>
      <c r="P3" s="4" t="s">
        <v>96</v>
      </c>
      <c r="Q3" s="4" t="s">
        <v>97</v>
      </c>
      <c r="R3" s="4" t="s">
        <v>95</v>
      </c>
      <c r="S3" s="5">
        <v>46147</v>
      </c>
      <c r="U3" s="4" t="s">
        <v>95</v>
      </c>
      <c r="V3" s="4" t="s">
        <v>223</v>
      </c>
      <c r="W3" s="4" t="s">
        <v>234</v>
      </c>
      <c r="X3" s="5">
        <v>46178</v>
      </c>
      <c r="Y3" s="6" t="s">
        <v>237</v>
      </c>
      <c r="Z3" s="4">
        <f>IF(tblEnrollment[[#This Row],[Approved date]]="",DATE(2026,6,3)-tblEnrollment[[#This Row],[Submitted Date]],tblEnrollment[[#This Row],[Approved date]]-tblEnrollment[[#This Row],[Submitted Date]])</f>
        <v>29</v>
      </c>
      <c r="AA3" s="4" t="str">
        <f>IF(tblEnrollment[[#This Row],[Current Status]] ="Ready","Completed",IF(Z3&gt;21,"SLA Breached","Within SLA"))</f>
        <v>SLA Breached</v>
      </c>
      <c r="AB3" s="4" t="str">
        <f>IF(tblEnrollment[[#This Row],[Credentialed NPI]] =tblEnrollment[[#This Row],[Enrolled NPI]],"NPI Match","NPI Mismatch")</f>
        <v>NPI Mismatch</v>
      </c>
      <c r="AC3" s="4" t="str">
        <f>IF(OR(tblEnrollment[[#This Row],[Blocked reason]] ="Individual NPI used instead of Group NPI",tblEnrollment[[#This Row],[Blocked reason]] ="Credentialed NPI mismatch",tblEnrollment[[#This Row],[Blocked reason]] ="Incorrect PTAN/Provider number"),"Yes","No")</f>
        <v>Yes</v>
      </c>
      <c r="AD3" s="4" t="str">
        <f>IF(OR(tblEnrollment[[#This Row],[Blocked reason]] ="Wrong Payer ID",tblEnrollment[[#This Row],[Blocked reason]] ="Old Payer ID used"),"Yes","No")</f>
        <v>No</v>
      </c>
      <c r="AE3" s="4" t="str">
        <f>IF(OR(tblEnrollment[[#This Row],[EEP updated?]]="No",tblEnrollment[[#This Row],[Blocked reason]] ="Clearinghouse portal not updated"),"Yes","No")</f>
        <v>Yes</v>
      </c>
      <c r="AF3" s="11" t="str">
        <f>IF(OR(tblEnrollment[[#This Row],[Blocked reason]] ="Medicaid additional enrollment is missing",tblEnrollment[[#This Row],[Blocked reason]] ="Incorrect PTAN/Provider number",tblEnrollment[[#This Row],[Blocked reason]] ="Medicare additional enrollment missing"),"Yes","No")</f>
        <v>No</v>
      </c>
      <c r="AG3" s="4" t="str">
        <f>IF(OR(tblEnrollment[[#This Row],[Enrollment Type ]]="Claims",tblEnrollment[[#This Row],[Enrollment Type ]]="Claims and ERA"),IF(AND(tblEnrollment[[#This Row],[Credentialing status]]="Completed",tblEnrollment[[#This Row],[Claims_Enrollment_Status]]="Approved",tblEnrollment[[#This Row],[EEP Status]]="Completed",AB3="NPI Match"),"Ready","Not Ready"),"Not Applicable")</f>
        <v>Not Ready</v>
      </c>
      <c r="AH3" s="4" t="str">
        <f>IF(OR(tblEnrollment[[#This Row],[Enrollment Type ]]="ERA",tblEnrollment[[#This Row],[Enrollment Type ]]="Claims and ERA"),IF(AND(tblEnrollment[[#This Row],[Credentialing status]]="Completed",tblEnrollment[[#This Row],[ERA Enrollment Status]]="Approved",tblEnrollment[[#This Row],[EEP Status]]="Completed",AB3="NPI Match"),"Ready","Not Ready"),"Not Applicable")</f>
        <v>Not Applicable</v>
      </c>
      <c r="AI3" s="4" t="str">
        <f>IF(tblEnrollment[[#This Row],[Blocked reason]] ="No Blocker","No","Yes")</f>
        <v>Yes</v>
      </c>
    </row>
    <row r="4" spans="1:35" s="4" customFormat="1" ht="15" thickBot="1" x14ac:dyDescent="0.4">
      <c r="A4" s="7" t="s">
        <v>27</v>
      </c>
      <c r="B4" s="4" t="s">
        <v>98</v>
      </c>
      <c r="C4" s="8" t="s">
        <v>121</v>
      </c>
      <c r="D4" s="4" t="s">
        <v>53</v>
      </c>
      <c r="E4" s="4" t="s">
        <v>144</v>
      </c>
      <c r="F4" s="4" t="s">
        <v>144</v>
      </c>
      <c r="G4" s="4" t="s">
        <v>144</v>
      </c>
      <c r="H4" s="4" t="s">
        <v>167</v>
      </c>
      <c r="I4" s="4" t="s">
        <v>190</v>
      </c>
      <c r="J4" s="4" t="s">
        <v>192</v>
      </c>
      <c r="K4" s="4" t="s">
        <v>80</v>
      </c>
      <c r="L4" s="4" t="s">
        <v>209</v>
      </c>
      <c r="M4" s="4" t="s">
        <v>82</v>
      </c>
      <c r="N4" s="4" t="s">
        <v>83</v>
      </c>
      <c r="O4" s="4" t="s">
        <v>218</v>
      </c>
      <c r="P4" s="4" t="s">
        <v>95</v>
      </c>
      <c r="Q4" s="4" t="s">
        <v>85</v>
      </c>
      <c r="R4" s="4" t="s">
        <v>217</v>
      </c>
      <c r="S4" s="5">
        <v>46134</v>
      </c>
      <c r="U4" s="4" t="s">
        <v>222</v>
      </c>
      <c r="V4" s="4" t="s">
        <v>224</v>
      </c>
      <c r="W4" s="4" t="s">
        <v>235</v>
      </c>
      <c r="X4" s="5">
        <v>46177</v>
      </c>
      <c r="Y4" s="6" t="s">
        <v>238</v>
      </c>
      <c r="Z4" s="4">
        <f>IF(tblEnrollment[[#This Row],[Approved date]]="",DATE(2026,6,3)-tblEnrollment[[#This Row],[Submitted Date]],tblEnrollment[[#This Row],[Approved date]]-tblEnrollment[[#This Row],[Submitted Date]])</f>
        <v>42</v>
      </c>
      <c r="AA4" s="4" t="str">
        <f>IF(tblEnrollment[[#This Row],[Current Status]] ="Ready","Completed",IF(Z4&gt;21,"SLA Breached","Within SLA"))</f>
        <v>SLA Breached</v>
      </c>
      <c r="AB4" s="4" t="str">
        <f>IF(tblEnrollment[[#This Row],[Credentialed NPI]] =tblEnrollment[[#This Row],[Enrolled NPI]],"NPI Match","NPI Mismatch")</f>
        <v>NPI Match</v>
      </c>
      <c r="AC4" s="4" t="str">
        <f>IF(OR(tblEnrollment[[#This Row],[Blocked reason]] ="Individual NPI used instead of Group NPI",tblEnrollment[[#This Row],[Blocked reason]] ="Credentialed NPI mismatch",tblEnrollment[[#This Row],[Blocked reason]] ="Incorrect PTAN/Provider number"),"Yes","No")</f>
        <v>No</v>
      </c>
      <c r="AD4" s="4" t="str">
        <f>IF(OR(tblEnrollment[[#This Row],[Blocked reason]] ="Wrong Payer ID",tblEnrollment[[#This Row],[Blocked reason]] ="Old Payer ID used"),"Yes","No")</f>
        <v>No</v>
      </c>
      <c r="AE4" s="4" t="str">
        <f>IF(OR(tblEnrollment[[#This Row],[EEP updated?]]="No",tblEnrollment[[#This Row],[Blocked reason]] ="Clearinghouse portal not updated"),"Yes","No")</f>
        <v>No</v>
      </c>
      <c r="AF4" s="11" t="str">
        <f>IF(OR(tblEnrollment[[#This Row],[Blocked reason]] ="Medicaid additional enrollment is missing",tblEnrollment[[#This Row],[Blocked reason]] ="Incorrect PTAN/Provider number",tblEnrollment[[#This Row],[Blocked reason]] ="Medicare additional enrollment missing"),"Yes","No")</f>
        <v>Yes</v>
      </c>
      <c r="AG4" s="4" t="str">
        <f>IF(OR(tblEnrollment[[#This Row],[Enrollment Type ]]="Claims",tblEnrollment[[#This Row],[Enrollment Type ]]="Claims and ERA"),IF(AND(tblEnrollment[[#This Row],[Credentialing status]]="Completed",tblEnrollment[[#This Row],[Claims_Enrollment_Status]]="Approved",tblEnrollment[[#This Row],[EEP Status]]="Completed",AB4="NPI Match"),"Ready","Not Ready"),"Not Applicable")</f>
        <v>Not Ready</v>
      </c>
      <c r="AH4" s="4" t="str">
        <f>IF(OR(tblEnrollment[[#This Row],[Enrollment Type ]]="ERA",tblEnrollment[[#This Row],[Enrollment Type ]]="Claims and ERA"),IF(AND(tblEnrollment[[#This Row],[Credentialing status]]="Completed",tblEnrollment[[#This Row],[ERA Enrollment Status]]="Approved",tblEnrollment[[#This Row],[EEP Status]]="Completed",AB4="NPI Match"),"Ready","Not Ready"),"Not Applicable")</f>
        <v>Not Ready</v>
      </c>
      <c r="AI4" s="4" t="str">
        <f>IF(tblEnrollment[[#This Row],[Blocked reason]] ="No Blocker","No","Yes")</f>
        <v>Yes</v>
      </c>
    </row>
    <row r="5" spans="1:35" s="4" customFormat="1" ht="15" thickBot="1" x14ac:dyDescent="0.4">
      <c r="A5" s="7" t="s">
        <v>28</v>
      </c>
      <c r="B5" s="6" t="s">
        <v>99</v>
      </c>
      <c r="C5" s="10" t="s">
        <v>122</v>
      </c>
      <c r="D5" s="7" t="s">
        <v>54</v>
      </c>
      <c r="E5" s="4" t="s">
        <v>145</v>
      </c>
      <c r="F5" s="4" t="s">
        <v>145</v>
      </c>
      <c r="G5" s="4" t="s">
        <v>145</v>
      </c>
      <c r="H5" s="4" t="s">
        <v>168</v>
      </c>
      <c r="I5" s="4" t="s">
        <v>191</v>
      </c>
      <c r="J5" s="4" t="s">
        <v>193</v>
      </c>
      <c r="K5" s="4" t="s">
        <v>92</v>
      </c>
      <c r="L5" s="4" t="s">
        <v>93</v>
      </c>
      <c r="M5" s="4" t="s">
        <v>216</v>
      </c>
      <c r="N5" s="4" t="s">
        <v>83</v>
      </c>
      <c r="O5" s="4" t="s">
        <v>84</v>
      </c>
      <c r="P5" s="4" t="s">
        <v>95</v>
      </c>
      <c r="Q5" s="4" t="s">
        <v>97</v>
      </c>
      <c r="R5" s="4" t="s">
        <v>95</v>
      </c>
      <c r="S5" s="5">
        <v>46154</v>
      </c>
      <c r="U5" s="4" t="s">
        <v>95</v>
      </c>
      <c r="V5" s="4" t="s">
        <v>225</v>
      </c>
      <c r="W5" s="4" t="s">
        <v>88</v>
      </c>
      <c r="X5" s="5">
        <v>46179</v>
      </c>
      <c r="Y5" s="6" t="s">
        <v>239</v>
      </c>
      <c r="Z5" s="4">
        <f>IF(tblEnrollment[[#This Row],[Approved date]]="",DATE(2026,6,3)-tblEnrollment[[#This Row],[Submitted Date]],tblEnrollment[[#This Row],[Approved date]]-tblEnrollment[[#This Row],[Submitted Date]])</f>
        <v>22</v>
      </c>
      <c r="AA5" s="4" t="str">
        <f>IF(tblEnrollment[[#This Row],[Current Status]] ="Ready","Completed",IF(Z5&gt;21,"SLA Breached","Within SLA"))</f>
        <v>SLA Breached</v>
      </c>
      <c r="AB5" s="4" t="str">
        <f>IF(tblEnrollment[[#This Row],[Credentialed NPI]] =tblEnrollment[[#This Row],[Enrolled NPI]],"NPI Match","NPI Mismatch")</f>
        <v>NPI Match</v>
      </c>
      <c r="AC5" s="4" t="str">
        <f>IF(OR(tblEnrollment[[#This Row],[Blocked reason]] ="Individual NPI used instead of Group NPI",tblEnrollment[[#This Row],[Blocked reason]] ="Credentialed NPI mismatch",tblEnrollment[[#This Row],[Blocked reason]] ="Incorrect PTAN/Provider number"),"Yes","No")</f>
        <v>No</v>
      </c>
      <c r="AD5" s="4" t="str">
        <f>IF(OR(tblEnrollment[[#This Row],[Blocked reason]] ="Wrong Payer ID",tblEnrollment[[#This Row],[Blocked reason]] ="Old Payer ID used"),"Yes","No")</f>
        <v>No</v>
      </c>
      <c r="AE5" s="4" t="str">
        <f>IF(OR(tblEnrollment[[#This Row],[EEP updated?]]="No",tblEnrollment[[#This Row],[Blocked reason]] ="Clearinghouse portal not updated"),"Yes","No")</f>
        <v>Yes</v>
      </c>
      <c r="AF5" s="11" t="str">
        <f>IF(OR(tblEnrollment[[#This Row],[Blocked reason]] ="Medicaid additional enrollment is missing",tblEnrollment[[#This Row],[Blocked reason]] ="Incorrect PTAN/Provider number",tblEnrollment[[#This Row],[Blocked reason]] ="Medicare additional enrollment missing"),"Yes","No")</f>
        <v>No</v>
      </c>
      <c r="AG5" s="4" t="str">
        <f>IF(OR(tblEnrollment[[#This Row],[Enrollment Type ]]="Claims",tblEnrollment[[#This Row],[Enrollment Type ]]="Claims and ERA"),IF(AND(tblEnrollment[[#This Row],[Credentialing status]]="Completed",tblEnrollment[[#This Row],[Claims_Enrollment_Status]]="Approved",tblEnrollment[[#This Row],[EEP Status]]="Completed",AB5="NPI Match"),"Ready","Not Ready"),"Not Applicable")</f>
        <v>Not Applicable</v>
      </c>
      <c r="AH5" s="4" t="str">
        <f>IF(OR(tblEnrollment[[#This Row],[Enrollment Type ]]="ERA",tblEnrollment[[#This Row],[Enrollment Type ]]="Claims and ERA"),IF(AND(tblEnrollment[[#This Row],[Credentialing status]]="Completed",tblEnrollment[[#This Row],[ERA Enrollment Status]]="Approved",tblEnrollment[[#This Row],[EEP Status]]="Completed",AB5="NPI Match"),"Ready","Not Ready"),"Not Applicable")</f>
        <v>Not Ready</v>
      </c>
      <c r="AI5" s="4" t="str">
        <f>IF(tblEnrollment[[#This Row],[Blocked reason]] ="No Blocker","No","Yes")</f>
        <v>Yes</v>
      </c>
    </row>
    <row r="6" spans="1:35" s="4" customFormat="1" x14ac:dyDescent="0.35">
      <c r="A6" s="7" t="s">
        <v>29</v>
      </c>
      <c r="B6" s="4" t="s">
        <v>100</v>
      </c>
      <c r="C6" s="9" t="s">
        <v>123</v>
      </c>
      <c r="D6" s="4" t="s">
        <v>55</v>
      </c>
      <c r="E6" s="4" t="s">
        <v>146</v>
      </c>
      <c r="F6" s="4" t="s">
        <v>146</v>
      </c>
      <c r="G6" s="4" t="s">
        <v>146</v>
      </c>
      <c r="H6" s="4" t="s">
        <v>169</v>
      </c>
      <c r="I6" s="4" t="s">
        <v>194</v>
      </c>
      <c r="J6" s="4" t="s">
        <v>195</v>
      </c>
      <c r="K6" s="4" t="s">
        <v>92</v>
      </c>
      <c r="L6" s="4" t="s">
        <v>93</v>
      </c>
      <c r="M6" s="4" t="s">
        <v>94</v>
      </c>
      <c r="N6" s="4" t="s">
        <v>83</v>
      </c>
      <c r="O6" s="4" t="s">
        <v>84</v>
      </c>
      <c r="P6" s="4" t="s">
        <v>219</v>
      </c>
      <c r="Q6" s="4" t="s">
        <v>85</v>
      </c>
      <c r="R6" s="4" t="s">
        <v>83</v>
      </c>
      <c r="S6" s="5">
        <v>46127</v>
      </c>
      <c r="T6" s="5">
        <v>46141</v>
      </c>
      <c r="U6" s="4" t="s">
        <v>86</v>
      </c>
      <c r="V6" s="4" t="s">
        <v>87</v>
      </c>
      <c r="W6" s="4" t="s">
        <v>234</v>
      </c>
      <c r="X6" s="5">
        <v>46176</v>
      </c>
      <c r="Y6" s="6" t="s">
        <v>240</v>
      </c>
      <c r="Z6" s="4">
        <f>IF(tblEnrollment[[#This Row],[Approved date]]="",DATE(2026,6,3)-tblEnrollment[[#This Row],[Submitted Date]],tblEnrollment[[#This Row],[Approved date]]-tblEnrollment[[#This Row],[Submitted Date]])</f>
        <v>14</v>
      </c>
      <c r="AA6" s="4" t="str">
        <f>IF(tblEnrollment[[#This Row],[Current Status]] ="Ready","Completed",IF(Z6&gt;21,"SLA Breached","Within SLA"))</f>
        <v>Completed</v>
      </c>
      <c r="AB6" s="4" t="str">
        <f>IF(tblEnrollment[[#This Row],[Credentialed NPI]] =tblEnrollment[[#This Row],[Enrolled NPI]],"NPI Match","NPI Mismatch")</f>
        <v>NPI Match</v>
      </c>
      <c r="AC6" s="4" t="str">
        <f>IF(OR(tblEnrollment[[#This Row],[Blocked reason]] ="Individual NPI used instead of Group NPI",tblEnrollment[[#This Row],[Blocked reason]] ="Credentialed NPI mismatch",tblEnrollment[[#This Row],[Blocked reason]] ="Incorrect PTAN/Provider number"),"Yes","No")</f>
        <v>No</v>
      </c>
      <c r="AD6" s="4" t="str">
        <f>IF(OR(tblEnrollment[[#This Row],[Blocked reason]] ="Wrong Payer ID",tblEnrollment[[#This Row],[Blocked reason]] ="Old Payer ID used"),"Yes","No")</f>
        <v>No</v>
      </c>
      <c r="AE6" s="4" t="str">
        <f>IF(OR(tblEnrollment[[#This Row],[EEP updated?]]="No",tblEnrollment[[#This Row],[Blocked reason]] ="Clearinghouse portal not updated"),"Yes","No")</f>
        <v>No</v>
      </c>
      <c r="AF6" s="11" t="str">
        <f>IF(OR(tblEnrollment[[#This Row],[Blocked reason]] ="Medicaid additional enrollment is missing",tblEnrollment[[#This Row],[Blocked reason]] ="Incorrect PTAN/Provider number",tblEnrollment[[#This Row],[Blocked reason]] ="Medicare additional enrollment missing"),"Yes","No")</f>
        <v>No</v>
      </c>
      <c r="AG6" s="4" t="str">
        <f>IF(OR(tblEnrollment[[#This Row],[Enrollment Type ]]="Claims",tblEnrollment[[#This Row],[Enrollment Type ]]="Claims and ERA"),IF(AND(tblEnrollment[[#This Row],[Credentialing status]]="Completed",tblEnrollment[[#This Row],[Claims_Enrollment_Status]]="Approved",tblEnrollment[[#This Row],[EEP Status]]="Completed",AB6="NPI Match"),"Ready","Not Ready"),"Not Applicable")</f>
        <v>Ready</v>
      </c>
      <c r="AH6" s="4" t="str">
        <f>IF(OR(tblEnrollment[[#This Row],[Enrollment Type ]]="ERA",tblEnrollment[[#This Row],[Enrollment Type ]]="Claims and ERA"),IF(AND(tblEnrollment[[#This Row],[Credentialing status]]="Completed",tblEnrollment[[#This Row],[ERA Enrollment Status]]="Approved",tblEnrollment[[#This Row],[EEP Status]]="Completed",AB6="NPI Match"),"Ready","Not Ready"),"Not Applicable")</f>
        <v>Not Applicable</v>
      </c>
      <c r="AI6" s="4" t="str">
        <f>IF(tblEnrollment[[#This Row],[Blocked reason]] ="No Blocker","No","Yes")</f>
        <v>No</v>
      </c>
    </row>
    <row r="7" spans="1:35" s="4" customFormat="1" x14ac:dyDescent="0.35">
      <c r="A7" s="7" t="s">
        <v>30</v>
      </c>
      <c r="B7" s="4" t="s">
        <v>101</v>
      </c>
      <c r="C7" s="4" t="s">
        <v>124</v>
      </c>
      <c r="D7" s="4" t="s">
        <v>56</v>
      </c>
      <c r="E7" s="4" t="s">
        <v>147</v>
      </c>
      <c r="F7" s="4" t="s">
        <v>147</v>
      </c>
      <c r="G7" s="4" t="s">
        <v>148</v>
      </c>
      <c r="H7" s="4" t="s">
        <v>170</v>
      </c>
      <c r="I7" s="4" t="s">
        <v>196</v>
      </c>
      <c r="J7" s="4" t="s">
        <v>200</v>
      </c>
      <c r="K7" s="4" t="s">
        <v>92</v>
      </c>
      <c r="L7" s="4" t="s">
        <v>93</v>
      </c>
      <c r="M7" s="4" t="s">
        <v>82</v>
      </c>
      <c r="N7" s="4" t="s">
        <v>83</v>
      </c>
      <c r="O7" s="4" t="s">
        <v>218</v>
      </c>
      <c r="P7" s="4" t="s">
        <v>218</v>
      </c>
      <c r="Q7" s="4" t="s">
        <v>85</v>
      </c>
      <c r="R7" s="4" t="s">
        <v>221</v>
      </c>
      <c r="S7" s="5">
        <v>46143</v>
      </c>
      <c r="U7" s="4" t="s">
        <v>222</v>
      </c>
      <c r="V7" s="4" t="s">
        <v>226</v>
      </c>
      <c r="W7" s="4" t="s">
        <v>234</v>
      </c>
      <c r="X7" s="5">
        <v>46180</v>
      </c>
      <c r="Y7" s="6" t="s">
        <v>241</v>
      </c>
      <c r="Z7" s="4">
        <f>IF(tblEnrollment[[#This Row],[Approved date]]="",DATE(2026,6,3)-tblEnrollment[[#This Row],[Submitted Date]],tblEnrollment[[#This Row],[Approved date]]-tblEnrollment[[#This Row],[Submitted Date]])</f>
        <v>33</v>
      </c>
      <c r="AA7" s="4" t="str">
        <f>IF(tblEnrollment[[#This Row],[Current Status]] ="Ready","Completed",IF(Z7&gt;21,"SLA Breached","Within SLA"))</f>
        <v>SLA Breached</v>
      </c>
      <c r="AB7" s="4" t="str">
        <f>IF(tblEnrollment[[#This Row],[Credentialed NPI]] =tblEnrollment[[#This Row],[Enrolled NPI]],"NPI Match","NPI Mismatch")</f>
        <v>NPI Mismatch</v>
      </c>
      <c r="AC7" s="4" t="str">
        <f>IF(OR(tblEnrollment[[#This Row],[Blocked reason]] ="Individual NPI used instead of Group NPI",tblEnrollment[[#This Row],[Blocked reason]] ="Credentialed NPI mismatch",tblEnrollment[[#This Row],[Blocked reason]] ="Incorrect PTAN/Provider number"),"Yes","No")</f>
        <v>Yes</v>
      </c>
      <c r="AD7" s="4" t="str">
        <f>IF(OR(tblEnrollment[[#This Row],[Blocked reason]] ="Wrong Payer ID",tblEnrollment[[#This Row],[Blocked reason]] ="Old Payer ID used"),"Yes","No")</f>
        <v>No</v>
      </c>
      <c r="AE7" s="4" t="str">
        <f>IF(OR(tblEnrollment[[#This Row],[EEP updated?]]="No",tblEnrollment[[#This Row],[Blocked reason]] ="Clearinghouse portal not updated"),"Yes","No")</f>
        <v>No</v>
      </c>
      <c r="AF7" s="11" t="str">
        <f>IF(OR(tblEnrollment[[#This Row],[Blocked reason]] ="Medicaid additional enrollment is missing",tblEnrollment[[#This Row],[Blocked reason]] ="Incorrect PTAN/Provider number",tblEnrollment[[#This Row],[Blocked reason]] ="Medicare additional enrollment missing"),"Yes","No")</f>
        <v>No</v>
      </c>
      <c r="AG7" s="4" t="str">
        <f>IF(OR(tblEnrollment[[#This Row],[Enrollment Type ]]="Claims",tblEnrollment[[#This Row],[Enrollment Type ]]="Claims and ERA"),IF(AND(tblEnrollment[[#This Row],[Credentialing status]]="Completed",tblEnrollment[[#This Row],[Claims_Enrollment_Status]]="Approved",tblEnrollment[[#This Row],[EEP Status]]="Completed",AB7="NPI Match"),"Ready","Not Ready"),"Not Applicable")</f>
        <v>Not Ready</v>
      </c>
      <c r="AH7" s="4" t="str">
        <f>IF(OR(tblEnrollment[[#This Row],[Enrollment Type ]]="ERA",tblEnrollment[[#This Row],[Enrollment Type ]]="Claims and ERA"),IF(AND(tblEnrollment[[#This Row],[Credentialing status]]="Completed",tblEnrollment[[#This Row],[ERA Enrollment Status]]="Approved",tblEnrollment[[#This Row],[EEP Status]]="Completed",AB7="NPI Match"),"Ready","Not Ready"),"Not Applicable")</f>
        <v>Not Ready</v>
      </c>
      <c r="AI7" s="4" t="str">
        <f>IF(tblEnrollment[[#This Row],[Blocked reason]] ="No Blocker","No","Yes")</f>
        <v>Yes</v>
      </c>
    </row>
    <row r="8" spans="1:35" s="4" customFormat="1" x14ac:dyDescent="0.35">
      <c r="A8" s="7" t="s">
        <v>31</v>
      </c>
      <c r="B8" s="4" t="s">
        <v>102</v>
      </c>
      <c r="C8" s="4" t="s">
        <v>125</v>
      </c>
      <c r="D8" s="4" t="s">
        <v>57</v>
      </c>
      <c r="E8" s="4" t="s">
        <v>148</v>
      </c>
      <c r="F8" s="4" t="s">
        <v>148</v>
      </c>
      <c r="G8" s="4" t="s">
        <v>148</v>
      </c>
      <c r="H8" s="4" t="s">
        <v>171</v>
      </c>
      <c r="I8" s="4" t="s">
        <v>197</v>
      </c>
      <c r="J8" s="4" t="s">
        <v>201</v>
      </c>
      <c r="K8" s="4" t="s">
        <v>92</v>
      </c>
      <c r="L8" s="4" t="s">
        <v>93</v>
      </c>
      <c r="M8" s="4" t="s">
        <v>216</v>
      </c>
      <c r="N8" s="4" t="s">
        <v>83</v>
      </c>
      <c r="O8" s="4" t="s">
        <v>84</v>
      </c>
      <c r="P8" s="4" t="s">
        <v>84</v>
      </c>
      <c r="Q8" s="4" t="s">
        <v>85</v>
      </c>
      <c r="R8" s="4" t="s">
        <v>83</v>
      </c>
      <c r="S8" s="5">
        <v>46109</v>
      </c>
      <c r="T8" s="5">
        <v>46124</v>
      </c>
      <c r="U8" s="4" t="s">
        <v>86</v>
      </c>
      <c r="V8" s="4" t="s">
        <v>87</v>
      </c>
      <c r="W8" s="4" t="s">
        <v>88</v>
      </c>
      <c r="X8" s="5">
        <v>46176</v>
      </c>
      <c r="Y8" s="6" t="s">
        <v>242</v>
      </c>
      <c r="Z8" s="4">
        <f>IF(tblEnrollment[[#This Row],[Approved date]]="",DATE(2026,6,3)-tblEnrollment[[#This Row],[Submitted Date]],tblEnrollment[[#This Row],[Approved date]]-tblEnrollment[[#This Row],[Submitted Date]])</f>
        <v>15</v>
      </c>
      <c r="AA8" s="4" t="str">
        <f>IF(tblEnrollment[[#This Row],[Current Status]] ="Ready","Completed",IF(Z8&gt;21,"SLA Breached","Within SLA"))</f>
        <v>Completed</v>
      </c>
      <c r="AB8" s="4" t="str">
        <f>IF(tblEnrollment[[#This Row],[Credentialed NPI]] =tblEnrollment[[#This Row],[Enrolled NPI]],"NPI Match","NPI Mismatch")</f>
        <v>NPI Match</v>
      </c>
      <c r="AC8" s="4" t="str">
        <f>IF(OR(tblEnrollment[[#This Row],[Blocked reason]] ="Individual NPI used instead of Group NPI",tblEnrollment[[#This Row],[Blocked reason]] ="Credentialed NPI mismatch",tblEnrollment[[#This Row],[Blocked reason]] ="Incorrect PTAN/Provider number"),"Yes","No")</f>
        <v>No</v>
      </c>
      <c r="AD8" s="4" t="str">
        <f>IF(OR(tblEnrollment[[#This Row],[Blocked reason]] ="Wrong Payer ID",tblEnrollment[[#This Row],[Blocked reason]] ="Old Payer ID used"),"Yes","No")</f>
        <v>No</v>
      </c>
      <c r="AE8" s="4" t="str">
        <f>IF(OR(tblEnrollment[[#This Row],[EEP updated?]]="No",tblEnrollment[[#This Row],[Blocked reason]] ="Clearinghouse portal not updated"),"Yes","No")</f>
        <v>No</v>
      </c>
      <c r="AF8" s="11" t="str">
        <f>IF(OR(tblEnrollment[[#This Row],[Blocked reason]] ="Medicaid additional enrollment is missing",tblEnrollment[[#This Row],[Blocked reason]] ="Incorrect PTAN/Provider number",tblEnrollment[[#This Row],[Blocked reason]] ="Medicare additional enrollment missing"),"Yes","No")</f>
        <v>No</v>
      </c>
      <c r="AG8" s="4" t="str">
        <f>IF(OR(tblEnrollment[[#This Row],[Enrollment Type ]]="Claims",tblEnrollment[[#This Row],[Enrollment Type ]]="Claims and ERA"),IF(AND(tblEnrollment[[#This Row],[Credentialing status]]="Completed",tblEnrollment[[#This Row],[Claims_Enrollment_Status]]="Approved",tblEnrollment[[#This Row],[EEP Status]]="Completed",AB8="NPI Match"),"Ready","Not Ready"),"Not Applicable")</f>
        <v>Not Applicable</v>
      </c>
      <c r="AH8" s="4" t="str">
        <f>IF(OR(tblEnrollment[[#This Row],[Enrollment Type ]]="ERA",tblEnrollment[[#This Row],[Enrollment Type ]]="Claims and ERA"),IF(AND(tblEnrollment[[#This Row],[Credentialing status]]="Completed",tblEnrollment[[#This Row],[ERA Enrollment Status]]="Approved",tblEnrollment[[#This Row],[EEP Status]]="Completed",AB8="NPI Match"),"Ready","Not Ready"),"Not Applicable")</f>
        <v>Ready</v>
      </c>
      <c r="AI8" s="4" t="str">
        <f>IF(tblEnrollment[[#This Row],[Blocked reason]] ="No Blocker","No","Yes")</f>
        <v>No</v>
      </c>
    </row>
    <row r="9" spans="1:35" s="4" customFormat="1" x14ac:dyDescent="0.35">
      <c r="A9" s="7" t="s">
        <v>32</v>
      </c>
      <c r="B9" s="4" t="s">
        <v>103</v>
      </c>
      <c r="C9" s="4" t="s">
        <v>126</v>
      </c>
      <c r="D9" s="4" t="s">
        <v>58</v>
      </c>
      <c r="E9" s="4" t="s">
        <v>149</v>
      </c>
      <c r="F9" s="4" t="s">
        <v>149</v>
      </c>
      <c r="G9" s="4" t="s">
        <v>149</v>
      </c>
      <c r="H9" s="4" t="s">
        <v>172</v>
      </c>
      <c r="I9" s="4" t="s">
        <v>78</v>
      </c>
      <c r="J9" s="4" t="s">
        <v>79</v>
      </c>
      <c r="K9" s="4" t="s">
        <v>80</v>
      </c>
      <c r="L9" s="4" t="s">
        <v>210</v>
      </c>
      <c r="M9" s="4" t="s">
        <v>82</v>
      </c>
      <c r="N9" s="4" t="s">
        <v>83</v>
      </c>
      <c r="O9" s="4" t="s">
        <v>218</v>
      </c>
      <c r="P9" s="4" t="s">
        <v>95</v>
      </c>
      <c r="Q9" s="4" t="s">
        <v>85</v>
      </c>
      <c r="R9" s="4" t="s">
        <v>217</v>
      </c>
      <c r="S9" s="5">
        <v>46137</v>
      </c>
      <c r="U9" s="4" t="s">
        <v>222</v>
      </c>
      <c r="V9" s="4" t="s">
        <v>227</v>
      </c>
      <c r="W9" s="4" t="s">
        <v>235</v>
      </c>
      <c r="X9" s="5">
        <v>46178</v>
      </c>
      <c r="Y9" s="6" t="s">
        <v>243</v>
      </c>
      <c r="Z9" s="4">
        <f>IF(tblEnrollment[[#This Row],[Approved date]]="",DATE(2026,6,3)-tblEnrollment[[#This Row],[Submitted Date]],tblEnrollment[[#This Row],[Approved date]]-tblEnrollment[[#This Row],[Submitted Date]])</f>
        <v>39</v>
      </c>
      <c r="AA9" s="4" t="str">
        <f>IF(tblEnrollment[[#This Row],[Current Status]] ="Ready","Completed",IF(Z9&gt;21,"SLA Breached","Within SLA"))</f>
        <v>SLA Breached</v>
      </c>
      <c r="AB9" s="4" t="str">
        <f>IF(tblEnrollment[[#This Row],[Credentialed NPI]] =tblEnrollment[[#This Row],[Enrolled NPI]],"NPI Match","NPI Mismatch")</f>
        <v>NPI Match</v>
      </c>
      <c r="AC9" s="4" t="str">
        <f>IF(OR(tblEnrollment[[#This Row],[Blocked reason]] ="Individual NPI used instead of Group NPI",tblEnrollment[[#This Row],[Blocked reason]] ="Credentialed NPI mismatch",tblEnrollment[[#This Row],[Blocked reason]] ="Incorrect PTAN/Provider number"),"Yes","No")</f>
        <v>Yes</v>
      </c>
      <c r="AD9" s="4" t="str">
        <f>IF(OR(tblEnrollment[[#This Row],[Blocked reason]] ="Wrong Payer ID",tblEnrollment[[#This Row],[Blocked reason]] ="Old Payer ID used"),"Yes","No")</f>
        <v>No</v>
      </c>
      <c r="AE9" s="4" t="str">
        <f>IF(OR(tblEnrollment[[#This Row],[EEP updated?]]="No",tblEnrollment[[#This Row],[Blocked reason]] ="Clearinghouse portal not updated"),"Yes","No")</f>
        <v>No</v>
      </c>
      <c r="AF9" s="11" t="str">
        <f>IF(OR(tblEnrollment[[#This Row],[Blocked reason]] ="Medicaid additional enrollment is missing",tblEnrollment[[#This Row],[Blocked reason]] ="Incorrect PTAN/Provider number",tblEnrollment[[#This Row],[Blocked reason]] ="Medicare additional enrollment missing"),"Yes","No")</f>
        <v>Yes</v>
      </c>
      <c r="AG9" s="4" t="str">
        <f>IF(OR(tblEnrollment[[#This Row],[Enrollment Type ]]="Claims",tblEnrollment[[#This Row],[Enrollment Type ]]="Claims and ERA"),IF(AND(tblEnrollment[[#This Row],[Credentialing status]]="Completed",tblEnrollment[[#This Row],[Claims_Enrollment_Status]]="Approved",tblEnrollment[[#This Row],[EEP Status]]="Completed",AB9="NPI Match"),"Ready","Not Ready"),"Not Applicable")</f>
        <v>Not Ready</v>
      </c>
      <c r="AH9" s="4" t="str">
        <f>IF(OR(tblEnrollment[[#This Row],[Enrollment Type ]]="ERA",tblEnrollment[[#This Row],[Enrollment Type ]]="Claims and ERA"),IF(AND(tblEnrollment[[#This Row],[Credentialing status]]="Completed",tblEnrollment[[#This Row],[ERA Enrollment Status]]="Approved",tblEnrollment[[#This Row],[EEP Status]]="Completed",AB9="NPI Match"),"Ready","Not Ready"),"Not Applicable")</f>
        <v>Not Ready</v>
      </c>
      <c r="AI9" s="4" t="str">
        <f>IF(tblEnrollment[[#This Row],[Blocked reason]] ="No Blocker","No","Yes")</f>
        <v>Yes</v>
      </c>
    </row>
    <row r="10" spans="1:35" s="4" customFormat="1" x14ac:dyDescent="0.35">
      <c r="A10" s="7" t="s">
        <v>33</v>
      </c>
      <c r="B10" s="4" t="s">
        <v>104</v>
      </c>
      <c r="C10" s="4" t="s">
        <v>127</v>
      </c>
      <c r="D10" s="4" t="s">
        <v>59</v>
      </c>
      <c r="E10" s="4" t="s">
        <v>150</v>
      </c>
      <c r="F10" s="4" t="s">
        <v>150</v>
      </c>
      <c r="G10" s="4" t="s">
        <v>150</v>
      </c>
      <c r="H10" s="4" t="s">
        <v>173</v>
      </c>
      <c r="I10" s="4" t="s">
        <v>90</v>
      </c>
      <c r="J10" s="4" t="s">
        <v>198</v>
      </c>
      <c r="K10" s="4" t="s">
        <v>92</v>
      </c>
      <c r="L10" s="4" t="s">
        <v>93</v>
      </c>
      <c r="M10" s="4" t="s">
        <v>94</v>
      </c>
      <c r="N10" s="4" t="s">
        <v>83</v>
      </c>
      <c r="O10" s="4" t="s">
        <v>218</v>
      </c>
      <c r="P10" s="4" t="s">
        <v>220</v>
      </c>
      <c r="Q10" s="4" t="s">
        <v>85</v>
      </c>
      <c r="R10" s="4" t="s">
        <v>221</v>
      </c>
      <c r="S10" s="5">
        <v>46150</v>
      </c>
      <c r="U10" s="4" t="s">
        <v>222</v>
      </c>
      <c r="V10" s="4" t="s">
        <v>228</v>
      </c>
      <c r="W10" s="4" t="s">
        <v>235</v>
      </c>
      <c r="X10" s="5">
        <v>46177</v>
      </c>
      <c r="Y10" s="6" t="s">
        <v>244</v>
      </c>
      <c r="Z10" s="4">
        <f>IF(tblEnrollment[[#This Row],[Approved date]]="",DATE(2026,6,3)-tblEnrollment[[#This Row],[Submitted Date]],tblEnrollment[[#This Row],[Approved date]]-tblEnrollment[[#This Row],[Submitted Date]])</f>
        <v>26</v>
      </c>
      <c r="AA10" s="4" t="str">
        <f>IF(tblEnrollment[[#This Row],[Current Status]] ="Ready","Completed",IF(Z10&gt;21,"SLA Breached","Within SLA"))</f>
        <v>SLA Breached</v>
      </c>
      <c r="AB10" s="4" t="str">
        <f>IF(tblEnrollment[[#This Row],[Credentialed NPI]] =tblEnrollment[[#This Row],[Enrolled NPI]],"NPI Match","NPI Mismatch")</f>
        <v>NPI Match</v>
      </c>
      <c r="AC10" s="4" t="str">
        <f>IF(OR(tblEnrollment[[#This Row],[Blocked reason]] ="Individual NPI used instead of Group NPI",tblEnrollment[[#This Row],[Blocked reason]] ="Credentialed NPI mismatch",tblEnrollment[[#This Row],[Blocked reason]] ="Incorrect PTAN/Provider number"),"Yes","No")</f>
        <v>No</v>
      </c>
      <c r="AD10" s="4" t="str">
        <f>IF(OR(tblEnrollment[[#This Row],[Blocked reason]] ="Wrong Payer ID",tblEnrollment[[#This Row],[Blocked reason]] ="Old Payer ID used"),"Yes","No")</f>
        <v>Yes</v>
      </c>
      <c r="AE10" s="4" t="str">
        <f>IF(OR(tblEnrollment[[#This Row],[EEP updated?]]="No",tblEnrollment[[#This Row],[Blocked reason]] ="Clearinghouse portal not updated"),"Yes","No")</f>
        <v>No</v>
      </c>
      <c r="AF10" s="11" t="str">
        <f>IF(OR(tblEnrollment[[#This Row],[Blocked reason]] ="Medicaid additional enrollment is missing",tblEnrollment[[#This Row],[Blocked reason]] ="Incorrect PTAN/Provider number",tblEnrollment[[#This Row],[Blocked reason]] ="Medicare additional enrollment missing"),"Yes","No")</f>
        <v>No</v>
      </c>
      <c r="AG10" s="4" t="str">
        <f>IF(OR(tblEnrollment[[#This Row],[Enrollment Type ]]="Claims",tblEnrollment[[#This Row],[Enrollment Type ]]="Claims and ERA"),IF(AND(tblEnrollment[[#This Row],[Credentialing status]]="Completed",tblEnrollment[[#This Row],[Claims_Enrollment_Status]]="Approved",tblEnrollment[[#This Row],[EEP Status]]="Completed",AB10="NPI Match"),"Ready","Not Ready"),"Not Applicable")</f>
        <v>Not Ready</v>
      </c>
      <c r="AH10" s="4" t="str">
        <f>IF(OR(tblEnrollment[[#This Row],[Enrollment Type ]]="ERA",tblEnrollment[[#This Row],[Enrollment Type ]]="Claims and ERA"),IF(AND(tblEnrollment[[#This Row],[Credentialing status]]="Completed",tblEnrollment[[#This Row],[ERA Enrollment Status]]="Approved",tblEnrollment[[#This Row],[EEP Status]]="Completed",AB10="NPI Match"),"Ready","Not Ready"),"Not Applicable")</f>
        <v>Not Applicable</v>
      </c>
      <c r="AI10" s="4" t="str">
        <f>IF(tblEnrollment[[#This Row],[Blocked reason]] ="No Blocker","No","Yes")</f>
        <v>Yes</v>
      </c>
    </row>
    <row r="11" spans="1:35" s="4" customFormat="1" x14ac:dyDescent="0.35">
      <c r="A11" s="7" t="s">
        <v>34</v>
      </c>
      <c r="B11" s="4" t="s">
        <v>105</v>
      </c>
      <c r="C11" s="4" t="s">
        <v>128</v>
      </c>
      <c r="D11" s="4" t="s">
        <v>60</v>
      </c>
      <c r="E11" s="4" t="s">
        <v>151</v>
      </c>
      <c r="F11" s="4" t="s">
        <v>151</v>
      </c>
      <c r="G11" s="4" t="s">
        <v>151</v>
      </c>
      <c r="H11" s="4" t="s">
        <v>174</v>
      </c>
      <c r="I11" s="4" t="s">
        <v>196</v>
      </c>
      <c r="J11" s="4" t="s">
        <v>200</v>
      </c>
      <c r="K11" s="4" t="s">
        <v>92</v>
      </c>
      <c r="L11" s="4" t="s">
        <v>93</v>
      </c>
      <c r="M11" s="4" t="s">
        <v>82</v>
      </c>
      <c r="N11" s="4" t="s">
        <v>217</v>
      </c>
      <c r="O11" s="4" t="s">
        <v>96</v>
      </c>
      <c r="P11" s="4" t="s">
        <v>96</v>
      </c>
      <c r="Q11" s="4" t="s">
        <v>97</v>
      </c>
      <c r="R11" s="4" t="s">
        <v>96</v>
      </c>
      <c r="S11" s="5">
        <v>46162</v>
      </c>
      <c r="U11" s="4" t="s">
        <v>95</v>
      </c>
      <c r="V11" s="4" t="s">
        <v>229</v>
      </c>
      <c r="W11" s="4" t="s">
        <v>88</v>
      </c>
      <c r="X11" s="5">
        <v>46183</v>
      </c>
      <c r="Y11" s="6" t="s">
        <v>245</v>
      </c>
      <c r="Z11" s="4">
        <f>IF(tblEnrollment[[#This Row],[Approved date]]="",DATE(2026,6,3)-tblEnrollment[[#This Row],[Submitted Date]],tblEnrollment[[#This Row],[Approved date]]-tblEnrollment[[#This Row],[Submitted Date]])</f>
        <v>14</v>
      </c>
      <c r="AA11" s="4" t="str">
        <f>IF(tblEnrollment[[#This Row],[Current Status]] ="Ready","Completed",IF(Z11&gt;21,"SLA Breached","Within SLA"))</f>
        <v>Within SLA</v>
      </c>
      <c r="AB11" s="4" t="str">
        <f>IF(tblEnrollment[[#This Row],[Credentialed NPI]] =tblEnrollment[[#This Row],[Enrolled NPI]],"NPI Match","NPI Mismatch")</f>
        <v>NPI Match</v>
      </c>
      <c r="AC11" s="4" t="str">
        <f>IF(OR(tblEnrollment[[#This Row],[Blocked reason]] ="Individual NPI used instead of Group NPI",tblEnrollment[[#This Row],[Blocked reason]] ="Credentialed NPI mismatch",tblEnrollment[[#This Row],[Blocked reason]] ="Incorrect PTAN/Provider number"),"Yes","No")</f>
        <v>No</v>
      </c>
      <c r="AD11" s="4" t="str">
        <f>IF(OR(tblEnrollment[[#This Row],[Blocked reason]] ="Wrong Payer ID",tblEnrollment[[#This Row],[Blocked reason]] ="Old Payer ID used"),"Yes","No")</f>
        <v>No</v>
      </c>
      <c r="AE11" s="4" t="str">
        <f>IF(OR(tblEnrollment[[#This Row],[EEP updated?]]="No",tblEnrollment[[#This Row],[Blocked reason]] ="Clearinghouse portal not updated"),"Yes","No")</f>
        <v>Yes</v>
      </c>
      <c r="AF11" s="11" t="str">
        <f>IF(OR(tblEnrollment[[#This Row],[Blocked reason]] ="Medicaid additional enrollment is missing",tblEnrollment[[#This Row],[Blocked reason]] ="Incorrect PTAN/Provider number",tblEnrollment[[#This Row],[Blocked reason]] ="Medicare additional enrollment missing"),"Yes","No")</f>
        <v>No</v>
      </c>
      <c r="AG11" s="4" t="str">
        <f>IF(OR(tblEnrollment[[#This Row],[Enrollment Type ]]="Claims",tblEnrollment[[#This Row],[Enrollment Type ]]="Claims and ERA"),IF(AND(tblEnrollment[[#This Row],[Credentialing status]]="Completed",tblEnrollment[[#This Row],[Claims_Enrollment_Status]]="Approved",tblEnrollment[[#This Row],[EEP Status]]="Completed",AB11="NPI Match"),"Ready","Not Ready"),"Not Applicable")</f>
        <v>Not Ready</v>
      </c>
      <c r="AH11" s="4" t="str">
        <f>IF(OR(tblEnrollment[[#This Row],[Enrollment Type ]]="ERA",tblEnrollment[[#This Row],[Enrollment Type ]]="Claims and ERA"),IF(AND(tblEnrollment[[#This Row],[Credentialing status]]="Completed",tblEnrollment[[#This Row],[ERA Enrollment Status]]="Approved",tblEnrollment[[#This Row],[EEP Status]]="Completed",AB11="NPI Match"),"Ready","Not Ready"),"Not Applicable")</f>
        <v>Not Ready</v>
      </c>
      <c r="AI11" s="4" t="str">
        <f>IF(tblEnrollment[[#This Row],[Blocked reason]] ="No Blocker","No","Yes")</f>
        <v>Yes</v>
      </c>
    </row>
    <row r="12" spans="1:35" s="4" customFormat="1" x14ac:dyDescent="0.35">
      <c r="A12" s="7" t="s">
        <v>35</v>
      </c>
      <c r="B12" s="4" t="s">
        <v>106</v>
      </c>
      <c r="C12" s="4" t="s">
        <v>129</v>
      </c>
      <c r="D12" s="4" t="s">
        <v>61</v>
      </c>
      <c r="E12" s="4" t="s">
        <v>152</v>
      </c>
      <c r="F12" s="4" t="s">
        <v>152</v>
      </c>
      <c r="G12" s="4" t="s">
        <v>61</v>
      </c>
      <c r="H12" s="4" t="s">
        <v>175</v>
      </c>
      <c r="I12" s="4" t="s">
        <v>194</v>
      </c>
      <c r="J12" s="4" t="s">
        <v>195</v>
      </c>
      <c r="K12" s="4" t="s">
        <v>92</v>
      </c>
      <c r="L12" s="4" t="s">
        <v>93</v>
      </c>
      <c r="M12" s="4" t="s">
        <v>216</v>
      </c>
      <c r="N12" s="4" t="s">
        <v>83</v>
      </c>
      <c r="O12" s="4" t="s">
        <v>84</v>
      </c>
      <c r="P12" s="4" t="s">
        <v>218</v>
      </c>
      <c r="Q12" s="4" t="s">
        <v>85</v>
      </c>
      <c r="R12" s="4" t="s">
        <v>221</v>
      </c>
      <c r="S12" s="5">
        <v>46142</v>
      </c>
      <c r="U12" s="4" t="s">
        <v>222</v>
      </c>
      <c r="V12" s="4" t="s">
        <v>223</v>
      </c>
      <c r="W12" s="4" t="s">
        <v>88</v>
      </c>
      <c r="X12" s="5">
        <v>46179</v>
      </c>
      <c r="Y12" s="6" t="s">
        <v>246</v>
      </c>
      <c r="Z12" s="4">
        <f>IF(tblEnrollment[[#This Row],[Approved date]]="",DATE(2026,6,3)-tblEnrollment[[#This Row],[Submitted Date]],tblEnrollment[[#This Row],[Approved date]]-tblEnrollment[[#This Row],[Submitted Date]])</f>
        <v>34</v>
      </c>
      <c r="AA12" s="4" t="str">
        <f>IF(tblEnrollment[[#This Row],[Current Status]] ="Ready","Completed",IF(Z12&gt;21,"SLA Breached","Within SLA"))</f>
        <v>SLA Breached</v>
      </c>
      <c r="AB12" s="4" t="str">
        <f>IF(tblEnrollment[[#This Row],[Credentialed NPI]] =tblEnrollment[[#This Row],[Enrolled NPI]],"NPI Match","NPI Mismatch")</f>
        <v>NPI Mismatch</v>
      </c>
      <c r="AC12" s="4" t="str">
        <f>IF(OR(tblEnrollment[[#This Row],[Blocked reason]] ="Individual NPI used instead of Group NPI",tblEnrollment[[#This Row],[Blocked reason]] ="Credentialed NPI mismatch",tblEnrollment[[#This Row],[Blocked reason]] ="Incorrect PTAN/Provider number"),"Yes","No")</f>
        <v>Yes</v>
      </c>
      <c r="AD12" s="4" t="str">
        <f>IF(OR(tblEnrollment[[#This Row],[Blocked reason]] ="Wrong Payer ID",tblEnrollment[[#This Row],[Blocked reason]] ="Old Payer ID used"),"Yes","No")</f>
        <v>No</v>
      </c>
      <c r="AE12" s="4" t="str">
        <f>IF(OR(tblEnrollment[[#This Row],[EEP updated?]]="No",tblEnrollment[[#This Row],[Blocked reason]] ="Clearinghouse portal not updated"),"Yes","No")</f>
        <v>No</v>
      </c>
      <c r="AF12" s="11" t="str">
        <f>IF(OR(tblEnrollment[[#This Row],[Blocked reason]] ="Medicaid additional enrollment is missing",tblEnrollment[[#This Row],[Blocked reason]] ="Incorrect PTAN/Provider number",tblEnrollment[[#This Row],[Blocked reason]] ="Medicare additional enrollment missing"),"Yes","No")</f>
        <v>No</v>
      </c>
      <c r="AG12" s="4" t="str">
        <f>IF(OR(tblEnrollment[[#This Row],[Enrollment Type ]]="Claims",tblEnrollment[[#This Row],[Enrollment Type ]]="Claims and ERA"),IF(AND(tblEnrollment[[#This Row],[Credentialing status]]="Completed",tblEnrollment[[#This Row],[Claims_Enrollment_Status]]="Approved",tblEnrollment[[#This Row],[EEP Status]]="Completed",AB12="NPI Match"),"Ready","Not Ready"),"Not Applicable")</f>
        <v>Not Applicable</v>
      </c>
      <c r="AH12" s="4" t="str">
        <f>IF(OR(tblEnrollment[[#This Row],[Enrollment Type ]]="ERA",tblEnrollment[[#This Row],[Enrollment Type ]]="Claims and ERA"),IF(AND(tblEnrollment[[#This Row],[Credentialing status]]="Completed",tblEnrollment[[#This Row],[ERA Enrollment Status]]="Approved",tblEnrollment[[#This Row],[EEP Status]]="Completed",AB12="NPI Match"),"Ready","Not Ready"),"Not Applicable")</f>
        <v>Not Ready</v>
      </c>
      <c r="AI12" s="4" t="str">
        <f>IF(tblEnrollment[[#This Row],[Blocked reason]] ="No Blocker","No","Yes")</f>
        <v>Yes</v>
      </c>
    </row>
    <row r="13" spans="1:35" s="4" customFormat="1" x14ac:dyDescent="0.35">
      <c r="A13" s="7" t="s">
        <v>36</v>
      </c>
      <c r="B13" s="4" t="s">
        <v>107</v>
      </c>
      <c r="C13" s="4" t="s">
        <v>130</v>
      </c>
      <c r="D13" s="4" t="s">
        <v>62</v>
      </c>
      <c r="E13" s="4" t="s">
        <v>153</v>
      </c>
      <c r="F13" s="4" t="s">
        <v>153</v>
      </c>
      <c r="G13" s="4" t="s">
        <v>153</v>
      </c>
      <c r="H13" s="4" t="s">
        <v>176</v>
      </c>
      <c r="I13" s="4" t="s">
        <v>191</v>
      </c>
      <c r="J13" s="4" t="s">
        <v>193</v>
      </c>
      <c r="K13" s="4" t="s">
        <v>92</v>
      </c>
      <c r="L13" s="4" t="s">
        <v>93</v>
      </c>
      <c r="M13" s="4" t="s">
        <v>82</v>
      </c>
      <c r="N13" s="4" t="s">
        <v>83</v>
      </c>
      <c r="O13" s="4" t="s">
        <v>95</v>
      </c>
      <c r="P13" s="4" t="s">
        <v>95</v>
      </c>
      <c r="Q13" s="4" t="s">
        <v>85</v>
      </c>
      <c r="R13" s="4" t="s">
        <v>217</v>
      </c>
      <c r="S13" s="5">
        <v>46160</v>
      </c>
      <c r="U13" s="4" t="s">
        <v>95</v>
      </c>
      <c r="V13" s="4" t="s">
        <v>230</v>
      </c>
      <c r="W13" s="4" t="s">
        <v>88</v>
      </c>
      <c r="X13" s="5">
        <v>46181</v>
      </c>
      <c r="Y13" s="6" t="s">
        <v>247</v>
      </c>
      <c r="Z13" s="4">
        <f>IF(tblEnrollment[[#This Row],[Approved date]]="",DATE(2026,6,3)-tblEnrollment[[#This Row],[Submitted Date]],tblEnrollment[[#This Row],[Approved date]]-tblEnrollment[[#This Row],[Submitted Date]])</f>
        <v>16</v>
      </c>
      <c r="AA13" s="4" t="str">
        <f>IF(tblEnrollment[[#This Row],[Current Status]] ="Ready","Completed",IF(Z13&gt;21,"SLA Breached","Within SLA"))</f>
        <v>Within SLA</v>
      </c>
      <c r="AB13" s="4" t="str">
        <f>IF(tblEnrollment[[#This Row],[Credentialed NPI]] =tblEnrollment[[#This Row],[Enrolled NPI]],"NPI Match","NPI Mismatch")</f>
        <v>NPI Match</v>
      </c>
      <c r="AC13" s="4" t="str">
        <f>IF(OR(tblEnrollment[[#This Row],[Blocked reason]] ="Individual NPI used instead of Group NPI",tblEnrollment[[#This Row],[Blocked reason]] ="Credentialed NPI mismatch",tblEnrollment[[#This Row],[Blocked reason]] ="Incorrect PTAN/Provider number"),"Yes","No")</f>
        <v>No</v>
      </c>
      <c r="AD13" s="4" t="str">
        <f>IF(OR(tblEnrollment[[#This Row],[Blocked reason]] ="Wrong Payer ID",tblEnrollment[[#This Row],[Blocked reason]] ="Old Payer ID used"),"Yes","No")</f>
        <v>No</v>
      </c>
      <c r="AE13" s="4" t="str">
        <f>IF(OR(tblEnrollment[[#This Row],[EEP updated?]]="No",tblEnrollment[[#This Row],[Blocked reason]] ="Clearinghouse portal not updated"),"Yes","No")</f>
        <v>No</v>
      </c>
      <c r="AF13" s="11" t="str">
        <f>IF(OR(tblEnrollment[[#This Row],[Blocked reason]] ="Medicaid additional enrollment is missing",tblEnrollment[[#This Row],[Blocked reason]] ="Incorrect PTAN/Provider number",tblEnrollment[[#This Row],[Blocked reason]] ="Medicare additional enrollment missing"),"Yes","No")</f>
        <v>No</v>
      </c>
      <c r="AG13" s="4" t="str">
        <f>IF(OR(tblEnrollment[[#This Row],[Enrollment Type ]]="Claims",tblEnrollment[[#This Row],[Enrollment Type ]]="Claims and ERA"),IF(AND(tblEnrollment[[#This Row],[Credentialing status]]="Completed",tblEnrollment[[#This Row],[Claims_Enrollment_Status]]="Approved",tblEnrollment[[#This Row],[EEP Status]]="Completed",AB13="NPI Match"),"Ready","Not Ready"),"Not Applicable")</f>
        <v>Not Ready</v>
      </c>
      <c r="AH13" s="4" t="str">
        <f>IF(OR(tblEnrollment[[#This Row],[Enrollment Type ]]="ERA",tblEnrollment[[#This Row],[Enrollment Type ]]="Claims and ERA"),IF(AND(tblEnrollment[[#This Row],[Credentialing status]]="Completed",tblEnrollment[[#This Row],[ERA Enrollment Status]]="Approved",tblEnrollment[[#This Row],[EEP Status]]="Completed",AB13="NPI Match"),"Ready","Not Ready"),"Not Applicable")</f>
        <v>Not Ready</v>
      </c>
      <c r="AI13" s="4" t="str">
        <f>IF(tblEnrollment[[#This Row],[Blocked reason]] ="No Blocker","No","Yes")</f>
        <v>Yes</v>
      </c>
    </row>
    <row r="14" spans="1:35" s="4" customFormat="1" x14ac:dyDescent="0.35">
      <c r="A14" s="7" t="s">
        <v>37</v>
      </c>
      <c r="B14" s="4" t="s">
        <v>108</v>
      </c>
      <c r="C14" s="4" t="s">
        <v>131</v>
      </c>
      <c r="D14" s="4" t="s">
        <v>63</v>
      </c>
      <c r="E14" s="4" t="s">
        <v>154</v>
      </c>
      <c r="F14" s="4" t="s">
        <v>154</v>
      </c>
      <c r="G14" s="4" t="s">
        <v>154</v>
      </c>
      <c r="H14" s="4" t="s">
        <v>177</v>
      </c>
      <c r="I14" s="4" t="s">
        <v>190</v>
      </c>
      <c r="J14" s="4" t="s">
        <v>199</v>
      </c>
      <c r="K14" s="4" t="s">
        <v>80</v>
      </c>
      <c r="L14" s="4" t="s">
        <v>211</v>
      </c>
      <c r="M14" s="4" t="s">
        <v>94</v>
      </c>
      <c r="N14" s="4" t="s">
        <v>83</v>
      </c>
      <c r="O14" s="4" t="s">
        <v>84</v>
      </c>
      <c r="P14" s="4" t="s">
        <v>219</v>
      </c>
      <c r="Q14" s="4" t="s">
        <v>85</v>
      </c>
      <c r="R14" s="4" t="s">
        <v>83</v>
      </c>
      <c r="S14" s="5">
        <v>46117</v>
      </c>
      <c r="T14" s="5">
        <v>46133</v>
      </c>
      <c r="U14" s="4" t="s">
        <v>86</v>
      </c>
      <c r="V14" s="4" t="s">
        <v>87</v>
      </c>
      <c r="W14" s="4" t="s">
        <v>235</v>
      </c>
      <c r="X14" s="5">
        <v>46176</v>
      </c>
      <c r="Y14" s="6" t="s">
        <v>248</v>
      </c>
      <c r="Z14" s="4">
        <f>IF(tblEnrollment[[#This Row],[Approved date]]="",DATE(2026,6,3)-tblEnrollment[[#This Row],[Submitted Date]],tblEnrollment[[#This Row],[Approved date]]-tblEnrollment[[#This Row],[Submitted Date]])</f>
        <v>16</v>
      </c>
      <c r="AA14" s="4" t="str">
        <f>IF(tblEnrollment[[#This Row],[Current Status]] ="Ready","Completed",IF(Z14&gt;21,"SLA Breached","Within SLA"))</f>
        <v>Completed</v>
      </c>
      <c r="AB14" s="4" t="str">
        <f>IF(tblEnrollment[[#This Row],[Credentialed NPI]] =tblEnrollment[[#This Row],[Enrolled NPI]],"NPI Match","NPI Mismatch")</f>
        <v>NPI Match</v>
      </c>
      <c r="AC14" s="4" t="str">
        <f>IF(OR(tblEnrollment[[#This Row],[Blocked reason]] ="Individual NPI used instead of Group NPI",tblEnrollment[[#This Row],[Blocked reason]] ="Credentialed NPI mismatch",tblEnrollment[[#This Row],[Blocked reason]] ="Incorrect PTAN/Provider number"),"Yes","No")</f>
        <v>No</v>
      </c>
      <c r="AD14" s="4" t="str">
        <f>IF(OR(tblEnrollment[[#This Row],[Blocked reason]] ="Wrong Payer ID",tblEnrollment[[#This Row],[Blocked reason]] ="Old Payer ID used"),"Yes","No")</f>
        <v>No</v>
      </c>
      <c r="AE14" s="4" t="str">
        <f>IF(OR(tblEnrollment[[#This Row],[EEP updated?]]="No",tblEnrollment[[#This Row],[Blocked reason]] ="Clearinghouse portal not updated"),"Yes","No")</f>
        <v>No</v>
      </c>
      <c r="AF14" s="11" t="str">
        <f>IF(OR(tblEnrollment[[#This Row],[Blocked reason]] ="Medicaid additional enrollment is missing",tblEnrollment[[#This Row],[Blocked reason]] ="Incorrect PTAN/Provider number",tblEnrollment[[#This Row],[Blocked reason]] ="Medicare additional enrollment missing"),"Yes","No")</f>
        <v>No</v>
      </c>
      <c r="AG14" s="4" t="str">
        <f>IF(OR(tblEnrollment[[#This Row],[Enrollment Type ]]="Claims",tblEnrollment[[#This Row],[Enrollment Type ]]="Claims and ERA"),IF(AND(tblEnrollment[[#This Row],[Credentialing status]]="Completed",tblEnrollment[[#This Row],[Claims_Enrollment_Status]]="Approved",tblEnrollment[[#This Row],[EEP Status]]="Completed",AB14="NPI Match"),"Ready","Not Ready"),"Not Applicable")</f>
        <v>Ready</v>
      </c>
      <c r="AH14" s="4" t="str">
        <f>IF(OR(tblEnrollment[[#This Row],[Enrollment Type ]]="ERA",tblEnrollment[[#This Row],[Enrollment Type ]]="Claims and ERA"),IF(AND(tblEnrollment[[#This Row],[Credentialing status]]="Completed",tblEnrollment[[#This Row],[ERA Enrollment Status]]="Approved",tblEnrollment[[#This Row],[EEP Status]]="Completed",AB14="NPI Match"),"Ready","Not Ready"),"Not Applicable")</f>
        <v>Not Applicable</v>
      </c>
      <c r="AI14" s="4" t="str">
        <f>IF(tblEnrollment[[#This Row],[Blocked reason]] ="No Blocker","No","Yes")</f>
        <v>No</v>
      </c>
    </row>
    <row r="15" spans="1:35" s="4" customFormat="1" x14ac:dyDescent="0.35">
      <c r="A15" s="7" t="s">
        <v>38</v>
      </c>
      <c r="B15" s="4" t="s">
        <v>109</v>
      </c>
      <c r="C15" s="4" t="s">
        <v>132</v>
      </c>
      <c r="D15" s="4" t="s">
        <v>64</v>
      </c>
      <c r="E15" s="4" t="s">
        <v>155</v>
      </c>
      <c r="F15" s="4" t="s">
        <v>155</v>
      </c>
      <c r="G15" s="4" t="s">
        <v>155</v>
      </c>
      <c r="H15" s="4" t="s">
        <v>178</v>
      </c>
      <c r="I15" s="4" t="s">
        <v>197</v>
      </c>
      <c r="J15" s="4" t="s">
        <v>201</v>
      </c>
      <c r="K15" s="4" t="s">
        <v>92</v>
      </c>
      <c r="L15" s="4" t="s">
        <v>93</v>
      </c>
      <c r="M15" s="4" t="s">
        <v>82</v>
      </c>
      <c r="N15" s="4" t="s">
        <v>83</v>
      </c>
      <c r="O15" s="4" t="s">
        <v>95</v>
      </c>
      <c r="P15" s="4" t="s">
        <v>95</v>
      </c>
      <c r="Q15" s="4" t="s">
        <v>97</v>
      </c>
      <c r="R15" s="4" t="s">
        <v>95</v>
      </c>
      <c r="S15" s="5">
        <v>46152</v>
      </c>
      <c r="U15" s="4" t="s">
        <v>95</v>
      </c>
      <c r="V15" s="4" t="s">
        <v>225</v>
      </c>
      <c r="W15" s="4" t="s">
        <v>234</v>
      </c>
      <c r="X15" s="5">
        <v>46179</v>
      </c>
      <c r="Y15" s="6" t="s">
        <v>249</v>
      </c>
      <c r="Z15" s="4">
        <f>IF(tblEnrollment[[#This Row],[Approved date]]="",DATE(2026,6,3)-tblEnrollment[[#This Row],[Submitted Date]],tblEnrollment[[#This Row],[Approved date]]-tblEnrollment[[#This Row],[Submitted Date]])</f>
        <v>24</v>
      </c>
      <c r="AA15" s="4" t="str">
        <f>IF(tblEnrollment[[#This Row],[Current Status]] ="Ready","Completed",IF(Z15&gt;21,"SLA Breached","Within SLA"))</f>
        <v>SLA Breached</v>
      </c>
      <c r="AB15" s="4" t="str">
        <f>IF(tblEnrollment[[#This Row],[Credentialed NPI]] =tblEnrollment[[#This Row],[Enrolled NPI]],"NPI Match","NPI Mismatch")</f>
        <v>NPI Match</v>
      </c>
      <c r="AC15" s="4" t="str">
        <f>IF(OR(tblEnrollment[[#This Row],[Blocked reason]] ="Individual NPI used instead of Group NPI",tblEnrollment[[#This Row],[Blocked reason]] ="Credentialed NPI mismatch",tblEnrollment[[#This Row],[Blocked reason]] ="Incorrect PTAN/Provider number"),"Yes","No")</f>
        <v>No</v>
      </c>
      <c r="AD15" s="4" t="str">
        <f>IF(OR(tblEnrollment[[#This Row],[Blocked reason]] ="Wrong Payer ID",tblEnrollment[[#This Row],[Blocked reason]] ="Old Payer ID used"),"Yes","No")</f>
        <v>No</v>
      </c>
      <c r="AE15" s="4" t="str">
        <f>IF(OR(tblEnrollment[[#This Row],[EEP updated?]]="No",tblEnrollment[[#This Row],[Blocked reason]] ="Clearinghouse portal not updated"),"Yes","No")</f>
        <v>Yes</v>
      </c>
      <c r="AF15" s="11" t="str">
        <f>IF(OR(tblEnrollment[[#This Row],[Blocked reason]] ="Medicaid additional enrollment is missing",tblEnrollment[[#This Row],[Blocked reason]] ="Incorrect PTAN/Provider number",tblEnrollment[[#This Row],[Blocked reason]] ="Medicare additional enrollment missing"),"Yes","No")</f>
        <v>No</v>
      </c>
      <c r="AG15" s="4" t="str">
        <f>IF(OR(tblEnrollment[[#This Row],[Enrollment Type ]]="Claims",tblEnrollment[[#This Row],[Enrollment Type ]]="Claims and ERA"),IF(AND(tblEnrollment[[#This Row],[Credentialing status]]="Completed",tblEnrollment[[#This Row],[Claims_Enrollment_Status]]="Approved",tblEnrollment[[#This Row],[EEP Status]]="Completed",AB15="NPI Match"),"Ready","Not Ready"),"Not Applicable")</f>
        <v>Not Ready</v>
      </c>
      <c r="AH15" s="4" t="str">
        <f>IF(OR(tblEnrollment[[#This Row],[Enrollment Type ]]="ERA",tblEnrollment[[#This Row],[Enrollment Type ]]="Claims and ERA"),IF(AND(tblEnrollment[[#This Row],[Credentialing status]]="Completed",tblEnrollment[[#This Row],[ERA Enrollment Status]]="Approved",tblEnrollment[[#This Row],[EEP Status]]="Completed",AB15="NPI Match"),"Ready","Not Ready"),"Not Applicable")</f>
        <v>Not Ready</v>
      </c>
      <c r="AI15" s="4" t="str">
        <f>IF(tblEnrollment[[#This Row],[Blocked reason]] ="No Blocker","No","Yes")</f>
        <v>Yes</v>
      </c>
    </row>
    <row r="16" spans="1:35" s="4" customFormat="1" x14ac:dyDescent="0.35">
      <c r="A16" s="7" t="s">
        <v>39</v>
      </c>
      <c r="B16" s="4" t="s">
        <v>110</v>
      </c>
      <c r="C16" s="4" t="s">
        <v>133</v>
      </c>
      <c r="D16" s="4" t="s">
        <v>65</v>
      </c>
      <c r="E16" s="4" t="s">
        <v>156</v>
      </c>
      <c r="F16" s="4" t="s">
        <v>156</v>
      </c>
      <c r="G16" s="4" t="s">
        <v>157</v>
      </c>
      <c r="H16" s="4" t="s">
        <v>179</v>
      </c>
      <c r="I16" s="4" t="s">
        <v>78</v>
      </c>
      <c r="J16" s="4" t="s">
        <v>79</v>
      </c>
      <c r="K16" s="4" t="s">
        <v>80</v>
      </c>
      <c r="L16" s="4" t="s">
        <v>212</v>
      </c>
      <c r="M16" s="4" t="s">
        <v>82</v>
      </c>
      <c r="N16" s="4" t="s">
        <v>83</v>
      </c>
      <c r="O16" s="4" t="s">
        <v>218</v>
      </c>
      <c r="P16" s="4" t="s">
        <v>218</v>
      </c>
      <c r="Q16" s="4" t="s">
        <v>85</v>
      </c>
      <c r="R16" s="4" t="s">
        <v>221</v>
      </c>
      <c r="S16" s="5">
        <v>46129</v>
      </c>
      <c r="U16" s="4" t="s">
        <v>222</v>
      </c>
      <c r="V16" s="4" t="s">
        <v>226</v>
      </c>
      <c r="W16" s="4" t="s">
        <v>234</v>
      </c>
      <c r="X16" s="5">
        <v>46178</v>
      </c>
      <c r="Y16" s="6" t="s">
        <v>250</v>
      </c>
      <c r="Z16" s="4">
        <f>IF(tblEnrollment[[#This Row],[Approved date]]="",DATE(2026,6,3)-tblEnrollment[[#This Row],[Submitted Date]],tblEnrollment[[#This Row],[Approved date]]-tblEnrollment[[#This Row],[Submitted Date]])</f>
        <v>47</v>
      </c>
      <c r="AA16" s="4" t="str">
        <f>IF(tblEnrollment[[#This Row],[Current Status]] ="Ready","Completed",IF(Z16&gt;21,"SLA Breached","Within SLA"))</f>
        <v>SLA Breached</v>
      </c>
      <c r="AB16" s="4" t="str">
        <f>IF(tblEnrollment[[#This Row],[Credentialed NPI]] =tblEnrollment[[#This Row],[Enrolled NPI]],"NPI Match","NPI Mismatch")</f>
        <v>NPI Mismatch</v>
      </c>
      <c r="AC16" s="4" t="str">
        <f>IF(OR(tblEnrollment[[#This Row],[Blocked reason]] ="Individual NPI used instead of Group NPI",tblEnrollment[[#This Row],[Blocked reason]] ="Credentialed NPI mismatch",tblEnrollment[[#This Row],[Blocked reason]] ="Incorrect PTAN/Provider number"),"Yes","No")</f>
        <v>Yes</v>
      </c>
      <c r="AD16" s="4" t="str">
        <f>IF(OR(tblEnrollment[[#This Row],[Blocked reason]] ="Wrong Payer ID",tblEnrollment[[#This Row],[Blocked reason]] ="Old Payer ID used"),"Yes","No")</f>
        <v>No</v>
      </c>
      <c r="AE16" s="4" t="str">
        <f>IF(OR(tblEnrollment[[#This Row],[EEP updated?]]="No",tblEnrollment[[#This Row],[Blocked reason]] ="Clearinghouse portal not updated"),"Yes","No")</f>
        <v>No</v>
      </c>
      <c r="AF16" s="11" t="str">
        <f>IF(OR(tblEnrollment[[#This Row],[Blocked reason]] ="Medicaid additional enrollment is missing",tblEnrollment[[#This Row],[Blocked reason]] ="Incorrect PTAN/Provider number",tblEnrollment[[#This Row],[Blocked reason]] ="Medicare additional enrollment missing"),"Yes","No")</f>
        <v>No</v>
      </c>
      <c r="AG16" s="4" t="str">
        <f>IF(OR(tblEnrollment[[#This Row],[Enrollment Type ]]="Claims",tblEnrollment[[#This Row],[Enrollment Type ]]="Claims and ERA"),IF(AND(tblEnrollment[[#This Row],[Credentialing status]]="Completed",tblEnrollment[[#This Row],[Claims_Enrollment_Status]]="Approved",tblEnrollment[[#This Row],[EEP Status]]="Completed",AB16="NPI Match"),"Ready","Not Ready"),"Not Applicable")</f>
        <v>Not Ready</v>
      </c>
      <c r="AH16" s="4" t="str">
        <f>IF(OR(tblEnrollment[[#This Row],[Enrollment Type ]]="ERA",tblEnrollment[[#This Row],[Enrollment Type ]]="Claims and ERA"),IF(AND(tblEnrollment[[#This Row],[Credentialing status]]="Completed",tblEnrollment[[#This Row],[ERA Enrollment Status]]="Approved",tblEnrollment[[#This Row],[EEP Status]]="Completed",AB16="NPI Match"),"Ready","Not Ready"),"Not Applicable")</f>
        <v>Not Ready</v>
      </c>
      <c r="AI16" s="4" t="str">
        <f>IF(tblEnrollment[[#This Row],[Blocked reason]] ="No Blocker","No","Yes")</f>
        <v>Yes</v>
      </c>
    </row>
    <row r="17" spans="1:35" s="4" customFormat="1" x14ac:dyDescent="0.35">
      <c r="A17" s="7" t="s">
        <v>40</v>
      </c>
      <c r="B17" s="4" t="s">
        <v>111</v>
      </c>
      <c r="C17" s="4" t="s">
        <v>134</v>
      </c>
      <c r="D17" s="4" t="s">
        <v>66</v>
      </c>
      <c r="E17" s="4" t="s">
        <v>157</v>
      </c>
      <c r="F17" s="4" t="s">
        <v>157</v>
      </c>
      <c r="G17" s="4" t="s">
        <v>157</v>
      </c>
      <c r="H17" s="4" t="s">
        <v>180</v>
      </c>
      <c r="I17" s="4" t="s">
        <v>90</v>
      </c>
      <c r="J17" s="4" t="s">
        <v>202</v>
      </c>
      <c r="K17" s="4" t="s">
        <v>92</v>
      </c>
      <c r="L17" s="4" t="s">
        <v>93</v>
      </c>
      <c r="M17" s="4" t="s">
        <v>94</v>
      </c>
      <c r="N17" s="4" t="s">
        <v>83</v>
      </c>
      <c r="O17" s="4" t="s">
        <v>84</v>
      </c>
      <c r="P17" s="4" t="s">
        <v>219</v>
      </c>
      <c r="Q17" s="4" t="s">
        <v>85</v>
      </c>
      <c r="R17" s="4" t="s">
        <v>83</v>
      </c>
      <c r="S17" s="5">
        <v>46144</v>
      </c>
      <c r="T17" s="5">
        <v>46158</v>
      </c>
      <c r="U17" s="4" t="s">
        <v>86</v>
      </c>
      <c r="V17" s="4" t="s">
        <v>87</v>
      </c>
      <c r="W17" s="4" t="s">
        <v>234</v>
      </c>
      <c r="X17" s="5">
        <v>46176</v>
      </c>
      <c r="Y17" s="6" t="s">
        <v>251</v>
      </c>
      <c r="Z17" s="4">
        <f>IF(tblEnrollment[[#This Row],[Approved date]]="",DATE(2026,6,3)-tblEnrollment[[#This Row],[Submitted Date]],tblEnrollment[[#This Row],[Approved date]]-tblEnrollment[[#This Row],[Submitted Date]])</f>
        <v>14</v>
      </c>
      <c r="AA17" s="4" t="str">
        <f>IF(tblEnrollment[[#This Row],[Current Status]] ="Ready","Completed",IF(Z17&gt;21,"SLA Breached","Within SLA"))</f>
        <v>Completed</v>
      </c>
      <c r="AB17" s="4" t="str">
        <f>IF(tblEnrollment[[#This Row],[Credentialed NPI]] =tblEnrollment[[#This Row],[Enrolled NPI]],"NPI Match","NPI Mismatch")</f>
        <v>NPI Match</v>
      </c>
      <c r="AC17" s="4" t="str">
        <f>IF(OR(tblEnrollment[[#This Row],[Blocked reason]] ="Individual NPI used instead of Group NPI",tblEnrollment[[#This Row],[Blocked reason]] ="Credentialed NPI mismatch",tblEnrollment[[#This Row],[Blocked reason]] ="Incorrect PTAN/Provider number"),"Yes","No")</f>
        <v>No</v>
      </c>
      <c r="AD17" s="4" t="str">
        <f>IF(OR(tblEnrollment[[#This Row],[Blocked reason]] ="Wrong Payer ID",tblEnrollment[[#This Row],[Blocked reason]] ="Old Payer ID used"),"Yes","No")</f>
        <v>No</v>
      </c>
      <c r="AE17" s="4" t="str">
        <f>IF(OR(tblEnrollment[[#This Row],[EEP updated?]]="No",tblEnrollment[[#This Row],[Blocked reason]] ="Clearinghouse portal not updated"),"Yes","No")</f>
        <v>No</v>
      </c>
      <c r="AF17" s="11" t="str">
        <f>IF(OR(tblEnrollment[[#This Row],[Blocked reason]] ="Medicaid additional enrollment is missing",tblEnrollment[[#This Row],[Blocked reason]] ="Incorrect PTAN/Provider number",tblEnrollment[[#This Row],[Blocked reason]] ="Medicare additional enrollment missing"),"Yes","No")</f>
        <v>No</v>
      </c>
      <c r="AG17" s="4" t="str">
        <f>IF(OR(tblEnrollment[[#This Row],[Enrollment Type ]]="Claims",tblEnrollment[[#This Row],[Enrollment Type ]]="Claims and ERA"),IF(AND(tblEnrollment[[#This Row],[Credentialing status]]="Completed",tblEnrollment[[#This Row],[Claims_Enrollment_Status]]="Approved",tblEnrollment[[#This Row],[EEP Status]]="Completed",AB17="NPI Match"),"Ready","Not Ready"),"Not Applicable")</f>
        <v>Ready</v>
      </c>
      <c r="AH17" s="4" t="str">
        <f>IF(OR(tblEnrollment[[#This Row],[Enrollment Type ]]="ERA",tblEnrollment[[#This Row],[Enrollment Type ]]="Claims and ERA"),IF(AND(tblEnrollment[[#This Row],[Credentialing status]]="Completed",tblEnrollment[[#This Row],[ERA Enrollment Status]]="Approved",tblEnrollment[[#This Row],[EEP Status]]="Completed",AB17="NPI Match"),"Ready","Not Ready"),"Not Applicable")</f>
        <v>Not Applicable</v>
      </c>
      <c r="AI17" s="4" t="str">
        <f>IF(tblEnrollment[[#This Row],[Blocked reason]] ="No Blocker","No","Yes")</f>
        <v>No</v>
      </c>
    </row>
    <row r="18" spans="1:35" s="4" customFormat="1" x14ac:dyDescent="0.35">
      <c r="A18" s="7" t="s">
        <v>41</v>
      </c>
      <c r="B18" s="4" t="s">
        <v>112</v>
      </c>
      <c r="C18" s="4" t="s">
        <v>135</v>
      </c>
      <c r="D18" s="4" t="s">
        <v>67</v>
      </c>
      <c r="E18" s="4" t="s">
        <v>158</v>
      </c>
      <c r="F18" s="4" t="s">
        <v>158</v>
      </c>
      <c r="G18" s="4" t="s">
        <v>158</v>
      </c>
      <c r="H18" s="4" t="s">
        <v>181</v>
      </c>
      <c r="I18" s="4" t="s">
        <v>196</v>
      </c>
      <c r="J18" s="4" t="s">
        <v>200</v>
      </c>
      <c r="K18" s="4" t="s">
        <v>92</v>
      </c>
      <c r="L18" s="4" t="s">
        <v>93</v>
      </c>
      <c r="M18" s="4" t="s">
        <v>216</v>
      </c>
      <c r="N18" s="4" t="s">
        <v>83</v>
      </c>
      <c r="O18" s="4" t="s">
        <v>84</v>
      </c>
      <c r="P18" s="4" t="s">
        <v>95</v>
      </c>
      <c r="Q18" s="4" t="s">
        <v>85</v>
      </c>
      <c r="R18" s="4" t="s">
        <v>217</v>
      </c>
      <c r="S18" s="5">
        <v>46153</v>
      </c>
      <c r="U18" s="4" t="s">
        <v>95</v>
      </c>
      <c r="V18" s="4" t="s">
        <v>231</v>
      </c>
      <c r="W18" s="4" t="s">
        <v>235</v>
      </c>
      <c r="X18" s="5">
        <v>46180</v>
      </c>
      <c r="Y18" s="6" t="s">
        <v>252</v>
      </c>
      <c r="Z18" s="4">
        <f>IF(tblEnrollment[[#This Row],[Approved date]]="",DATE(2026,6,3)-tblEnrollment[[#This Row],[Submitted Date]],tblEnrollment[[#This Row],[Approved date]]-tblEnrollment[[#This Row],[Submitted Date]])</f>
        <v>23</v>
      </c>
      <c r="AA18" s="4" t="str">
        <f>IF(tblEnrollment[[#This Row],[Current Status]] ="Ready","Completed",IF(Z18&gt;21,"SLA Breached","Within SLA"))</f>
        <v>SLA Breached</v>
      </c>
      <c r="AB18" s="4" t="str">
        <f>IF(tblEnrollment[[#This Row],[Credentialed NPI]] =tblEnrollment[[#This Row],[Enrolled NPI]],"NPI Match","NPI Mismatch")</f>
        <v>NPI Match</v>
      </c>
      <c r="AC18" s="4" t="str">
        <f>IF(OR(tblEnrollment[[#This Row],[Blocked reason]] ="Individual NPI used instead of Group NPI",tblEnrollment[[#This Row],[Blocked reason]] ="Credentialed NPI mismatch",tblEnrollment[[#This Row],[Blocked reason]] ="Incorrect PTAN/Provider number"),"Yes","No")</f>
        <v>No</v>
      </c>
      <c r="AD18" s="4" t="str">
        <f>IF(OR(tblEnrollment[[#This Row],[Blocked reason]] ="Wrong Payer ID",tblEnrollment[[#This Row],[Blocked reason]] ="Old Payer ID used"),"Yes","No")</f>
        <v>No</v>
      </c>
      <c r="AE18" s="4" t="str">
        <f>IF(OR(tblEnrollment[[#This Row],[EEP updated?]]="No",tblEnrollment[[#This Row],[Blocked reason]] ="Clearinghouse portal not updated"),"Yes","No")</f>
        <v>No</v>
      </c>
      <c r="AF18" s="11" t="str">
        <f>IF(OR(tblEnrollment[[#This Row],[Blocked reason]] ="Medicaid additional enrollment is missing",tblEnrollment[[#This Row],[Blocked reason]] ="Incorrect PTAN/Provider number",tblEnrollment[[#This Row],[Blocked reason]] ="Medicare additional enrollment missing"),"Yes","No")</f>
        <v>No</v>
      </c>
      <c r="AG18" s="4" t="str">
        <f>IF(OR(tblEnrollment[[#This Row],[Enrollment Type ]]="Claims",tblEnrollment[[#This Row],[Enrollment Type ]]="Claims and ERA"),IF(AND(tblEnrollment[[#This Row],[Credentialing status]]="Completed",tblEnrollment[[#This Row],[Claims_Enrollment_Status]]="Approved",tblEnrollment[[#This Row],[EEP Status]]="Completed",AB18="NPI Match"),"Ready","Not Ready"),"Not Applicable")</f>
        <v>Not Applicable</v>
      </c>
      <c r="AH18" s="4" t="str">
        <f>IF(OR(tblEnrollment[[#This Row],[Enrollment Type ]]="ERA",tblEnrollment[[#This Row],[Enrollment Type ]]="Claims and ERA"),IF(AND(tblEnrollment[[#This Row],[Credentialing status]]="Completed",tblEnrollment[[#This Row],[ERA Enrollment Status]]="Approved",tblEnrollment[[#This Row],[EEP Status]]="Completed",AB18="NPI Match"),"Ready","Not Ready"),"Not Applicable")</f>
        <v>Not Ready</v>
      </c>
      <c r="AI18" s="4" t="str">
        <f>IF(tblEnrollment[[#This Row],[Blocked reason]] ="No Blocker","No","Yes")</f>
        <v>Yes</v>
      </c>
    </row>
    <row r="19" spans="1:35" s="4" customFormat="1" x14ac:dyDescent="0.35">
      <c r="A19" s="7" t="s">
        <v>42</v>
      </c>
      <c r="B19" s="4" t="s">
        <v>113</v>
      </c>
      <c r="C19" s="4" t="s">
        <v>136</v>
      </c>
      <c r="D19" s="4" t="s">
        <v>68</v>
      </c>
      <c r="E19" s="4" t="s">
        <v>159</v>
      </c>
      <c r="F19" s="4" t="s">
        <v>159</v>
      </c>
      <c r="G19" s="4" t="s">
        <v>159</v>
      </c>
      <c r="H19" s="4" t="s">
        <v>182</v>
      </c>
      <c r="I19" s="4" t="s">
        <v>194</v>
      </c>
      <c r="J19" s="4" t="s">
        <v>203</v>
      </c>
      <c r="K19" s="4" t="s">
        <v>92</v>
      </c>
      <c r="L19" s="4" t="s">
        <v>93</v>
      </c>
      <c r="M19" s="4" t="s">
        <v>82</v>
      </c>
      <c r="N19" s="4" t="s">
        <v>83</v>
      </c>
      <c r="O19" s="4" t="s">
        <v>218</v>
      </c>
      <c r="P19" s="4" t="s">
        <v>95</v>
      </c>
      <c r="Q19" s="4" t="s">
        <v>85</v>
      </c>
      <c r="R19" s="4" t="s">
        <v>221</v>
      </c>
      <c r="S19" s="5">
        <v>46148</v>
      </c>
      <c r="U19" s="4" t="s">
        <v>222</v>
      </c>
      <c r="V19" s="4" t="s">
        <v>232</v>
      </c>
      <c r="W19" s="4" t="s">
        <v>235</v>
      </c>
      <c r="X19" s="5">
        <v>46177</v>
      </c>
      <c r="Y19" s="6" t="s">
        <v>253</v>
      </c>
      <c r="Z19" s="4">
        <f>IF(tblEnrollment[[#This Row],[Approved date]]="",DATE(2026,6,3)-tblEnrollment[[#This Row],[Submitted Date]],tblEnrollment[[#This Row],[Approved date]]-tblEnrollment[[#This Row],[Submitted Date]])</f>
        <v>28</v>
      </c>
      <c r="AA19" s="4" t="str">
        <f>IF(tblEnrollment[[#This Row],[Current Status]] ="Ready","Completed",IF(Z19&gt;21,"SLA Breached","Within SLA"))</f>
        <v>SLA Breached</v>
      </c>
      <c r="AB19" s="4" t="str">
        <f>IF(tblEnrollment[[#This Row],[Credentialed NPI]] =tblEnrollment[[#This Row],[Enrolled NPI]],"NPI Match","NPI Mismatch")</f>
        <v>NPI Match</v>
      </c>
      <c r="AC19" s="4" t="str">
        <f>IF(OR(tblEnrollment[[#This Row],[Blocked reason]] ="Individual NPI used instead of Group NPI",tblEnrollment[[#This Row],[Blocked reason]] ="Credentialed NPI mismatch",tblEnrollment[[#This Row],[Blocked reason]] ="Incorrect PTAN/Provider number"),"Yes","No")</f>
        <v>No</v>
      </c>
      <c r="AD19" s="4" t="str">
        <f>IF(OR(tblEnrollment[[#This Row],[Blocked reason]] ="Wrong Payer ID",tblEnrollment[[#This Row],[Blocked reason]] ="Old Payer ID used"),"Yes","No")</f>
        <v>Yes</v>
      </c>
      <c r="AE19" s="4" t="str">
        <f>IF(OR(tblEnrollment[[#This Row],[EEP updated?]]="No",tblEnrollment[[#This Row],[Blocked reason]] ="Clearinghouse portal not updated"),"Yes","No")</f>
        <v>No</v>
      </c>
      <c r="AF19" s="11" t="str">
        <f>IF(OR(tblEnrollment[[#This Row],[Blocked reason]] ="Medicaid additional enrollment is missing",tblEnrollment[[#This Row],[Blocked reason]] ="Incorrect PTAN/Provider number",tblEnrollment[[#This Row],[Blocked reason]] ="Medicare additional enrollment missing"),"Yes","No")</f>
        <v>No</v>
      </c>
      <c r="AG19" s="4" t="str">
        <f>IF(OR(tblEnrollment[[#This Row],[Enrollment Type ]]="Claims",tblEnrollment[[#This Row],[Enrollment Type ]]="Claims and ERA"),IF(AND(tblEnrollment[[#This Row],[Credentialing status]]="Completed",tblEnrollment[[#This Row],[Claims_Enrollment_Status]]="Approved",tblEnrollment[[#This Row],[EEP Status]]="Completed",AB19="NPI Match"),"Ready","Not Ready"),"Not Applicable")</f>
        <v>Not Ready</v>
      </c>
      <c r="AH19" s="4" t="str">
        <f>IF(OR(tblEnrollment[[#This Row],[Enrollment Type ]]="ERA",tblEnrollment[[#This Row],[Enrollment Type ]]="Claims and ERA"),IF(AND(tblEnrollment[[#This Row],[Credentialing status]]="Completed",tblEnrollment[[#This Row],[ERA Enrollment Status]]="Approved",tblEnrollment[[#This Row],[EEP Status]]="Completed",AB19="NPI Match"),"Ready","Not Ready"),"Not Applicable")</f>
        <v>Not Ready</v>
      </c>
      <c r="AI19" s="4" t="str">
        <f>IF(tblEnrollment[[#This Row],[Blocked reason]] ="No Blocker","No","Yes")</f>
        <v>Yes</v>
      </c>
    </row>
    <row r="20" spans="1:35" s="4" customFormat="1" x14ac:dyDescent="0.35">
      <c r="A20" s="7" t="s">
        <v>43</v>
      </c>
      <c r="B20" s="4" t="s">
        <v>114</v>
      </c>
      <c r="C20" s="4" t="s">
        <v>137</v>
      </c>
      <c r="D20" s="4" t="s">
        <v>69</v>
      </c>
      <c r="E20" s="4" t="s">
        <v>160</v>
      </c>
      <c r="F20" s="4" t="s">
        <v>160</v>
      </c>
      <c r="G20" s="4" t="s">
        <v>160</v>
      </c>
      <c r="H20" s="4" t="s">
        <v>183</v>
      </c>
      <c r="I20" s="4" t="s">
        <v>78</v>
      </c>
      <c r="J20" s="4" t="s">
        <v>79</v>
      </c>
      <c r="K20" s="4" t="s">
        <v>80</v>
      </c>
      <c r="L20" s="4" t="s">
        <v>213</v>
      </c>
      <c r="M20" s="4" t="s">
        <v>82</v>
      </c>
      <c r="N20" s="4" t="s">
        <v>83</v>
      </c>
      <c r="O20" s="4" t="s">
        <v>95</v>
      </c>
      <c r="P20" s="4" t="s">
        <v>95</v>
      </c>
      <c r="Q20" s="4" t="s">
        <v>85</v>
      </c>
      <c r="R20" s="4" t="s">
        <v>217</v>
      </c>
      <c r="S20" s="5">
        <v>46156</v>
      </c>
      <c r="U20" s="4" t="s">
        <v>95</v>
      </c>
      <c r="V20" s="4" t="s">
        <v>233</v>
      </c>
      <c r="W20" s="4" t="s">
        <v>88</v>
      </c>
      <c r="X20" s="5">
        <v>46182</v>
      </c>
      <c r="Y20" s="6" t="s">
        <v>254</v>
      </c>
      <c r="Z20" s="4">
        <f>IF(tblEnrollment[[#This Row],[Approved date]]="",DATE(2026,6,3)-tblEnrollment[[#This Row],[Submitted Date]],tblEnrollment[[#This Row],[Approved date]]-tblEnrollment[[#This Row],[Submitted Date]])</f>
        <v>20</v>
      </c>
      <c r="AA20" s="4" t="str">
        <f>IF(tblEnrollment[[#This Row],[Current Status]] ="Ready","Completed",IF(Z20&gt;21,"SLA Breached","Within SLA"))</f>
        <v>Within SLA</v>
      </c>
      <c r="AB20" s="4" t="str">
        <f>IF(tblEnrollment[[#This Row],[Credentialed NPI]] =tblEnrollment[[#This Row],[Enrolled NPI]],"NPI Match","NPI Mismatch")</f>
        <v>NPI Match</v>
      </c>
      <c r="AC20" s="4" t="str">
        <f>IF(OR(tblEnrollment[[#This Row],[Blocked reason]] ="Individual NPI used instead of Group NPI",tblEnrollment[[#This Row],[Blocked reason]] ="Credentialed NPI mismatch",tblEnrollment[[#This Row],[Blocked reason]] ="Incorrect PTAN/Provider number"),"Yes","No")</f>
        <v>No</v>
      </c>
      <c r="AD20" s="4" t="str">
        <f>IF(OR(tblEnrollment[[#This Row],[Blocked reason]] ="Wrong Payer ID",tblEnrollment[[#This Row],[Blocked reason]] ="Old Payer ID used"),"Yes","No")</f>
        <v>No</v>
      </c>
      <c r="AE20" s="4" t="str">
        <f>IF(OR(tblEnrollment[[#This Row],[EEP updated?]]="No",tblEnrollment[[#This Row],[Blocked reason]] ="Clearinghouse portal not updated"),"Yes","No")</f>
        <v>No</v>
      </c>
      <c r="AF20" s="11" t="str">
        <f>IF(OR(tblEnrollment[[#This Row],[Blocked reason]] ="Medicaid additional enrollment is missing",tblEnrollment[[#This Row],[Blocked reason]] ="Incorrect PTAN/Provider number",tblEnrollment[[#This Row],[Blocked reason]] ="Medicare additional enrollment missing"),"Yes","No")</f>
        <v>Yes</v>
      </c>
      <c r="AG20" s="4" t="str">
        <f>IF(OR(tblEnrollment[[#This Row],[Enrollment Type ]]="Claims",tblEnrollment[[#This Row],[Enrollment Type ]]="Claims and ERA"),IF(AND(tblEnrollment[[#This Row],[Credentialing status]]="Completed",tblEnrollment[[#This Row],[Claims_Enrollment_Status]]="Approved",tblEnrollment[[#This Row],[EEP Status]]="Completed",AB20="NPI Match"),"Ready","Not Ready"),"Not Applicable")</f>
        <v>Not Ready</v>
      </c>
      <c r="AH20" s="4" t="str">
        <f>IF(OR(tblEnrollment[[#This Row],[Enrollment Type ]]="ERA",tblEnrollment[[#This Row],[Enrollment Type ]]="Claims and ERA"),IF(AND(tblEnrollment[[#This Row],[Credentialing status]]="Completed",tblEnrollment[[#This Row],[ERA Enrollment Status]]="Approved",tblEnrollment[[#This Row],[EEP Status]]="Completed",AB20="NPI Match"),"Ready","Not Ready"),"Not Applicable")</f>
        <v>Not Ready</v>
      </c>
      <c r="AI20" s="4" t="str">
        <f>IF(tblEnrollment[[#This Row],[Blocked reason]] ="No Blocker","No","Yes")</f>
        <v>Yes</v>
      </c>
    </row>
    <row r="21" spans="1:35" s="4" customFormat="1" x14ac:dyDescent="0.35">
      <c r="A21" s="7" t="s">
        <v>44</v>
      </c>
      <c r="B21" s="4" t="s">
        <v>115</v>
      </c>
      <c r="C21" s="4" t="s">
        <v>138</v>
      </c>
      <c r="D21" s="4" t="s">
        <v>70</v>
      </c>
      <c r="E21" s="4" t="s">
        <v>161</v>
      </c>
      <c r="F21" s="4" t="s">
        <v>161</v>
      </c>
      <c r="G21" s="4" t="s">
        <v>161</v>
      </c>
      <c r="H21" s="4" t="s">
        <v>184</v>
      </c>
      <c r="I21" s="4" t="s">
        <v>191</v>
      </c>
      <c r="J21" s="4" t="s">
        <v>204</v>
      </c>
      <c r="K21" s="4" t="s">
        <v>92</v>
      </c>
      <c r="L21" s="4" t="s">
        <v>93</v>
      </c>
      <c r="M21" s="4" t="s">
        <v>82</v>
      </c>
      <c r="N21" s="4" t="s">
        <v>83</v>
      </c>
      <c r="O21" s="4" t="s">
        <v>84</v>
      </c>
      <c r="P21" s="4" t="s">
        <v>84</v>
      </c>
      <c r="Q21" s="4" t="s">
        <v>85</v>
      </c>
      <c r="R21" s="4" t="s">
        <v>83</v>
      </c>
      <c r="S21" s="5">
        <v>46121</v>
      </c>
      <c r="T21" s="5">
        <v>46136</v>
      </c>
      <c r="U21" s="4" t="s">
        <v>86</v>
      </c>
      <c r="V21" s="4" t="s">
        <v>87</v>
      </c>
      <c r="W21" s="4" t="s">
        <v>88</v>
      </c>
      <c r="X21" s="5">
        <v>46176</v>
      </c>
      <c r="Y21" s="6" t="s">
        <v>255</v>
      </c>
      <c r="Z21" s="4">
        <f>IF(tblEnrollment[[#This Row],[Approved date]]="",DATE(2026,6,3)-tblEnrollment[[#This Row],[Submitted Date]],tblEnrollment[[#This Row],[Approved date]]-tblEnrollment[[#This Row],[Submitted Date]])</f>
        <v>15</v>
      </c>
      <c r="AA21" s="4" t="str">
        <f>IF(tblEnrollment[[#This Row],[Current Status]] ="Ready","Completed",IF(Z21&gt;21,"SLA Breached","Within SLA"))</f>
        <v>Completed</v>
      </c>
      <c r="AB21" s="4" t="str">
        <f>IF(tblEnrollment[[#This Row],[Credentialed NPI]] =tblEnrollment[[#This Row],[Enrolled NPI]],"NPI Match","NPI Mismatch")</f>
        <v>NPI Match</v>
      </c>
      <c r="AC21" s="4" t="str">
        <f>IF(OR(tblEnrollment[[#This Row],[Blocked reason]] ="Individual NPI used instead of Group NPI",tblEnrollment[[#This Row],[Blocked reason]] ="Credentialed NPI mismatch",tblEnrollment[[#This Row],[Blocked reason]] ="Incorrect PTAN/Provider number"),"Yes","No")</f>
        <v>No</v>
      </c>
      <c r="AD21" s="4" t="str">
        <f>IF(OR(tblEnrollment[[#This Row],[Blocked reason]] ="Wrong Payer ID",tblEnrollment[[#This Row],[Blocked reason]] ="Old Payer ID used"),"Yes","No")</f>
        <v>No</v>
      </c>
      <c r="AE21" s="4" t="str">
        <f>IF(OR(tblEnrollment[[#This Row],[EEP updated?]]="No",tblEnrollment[[#This Row],[Blocked reason]] ="Clearinghouse portal not updated"),"Yes","No")</f>
        <v>No</v>
      </c>
      <c r="AF21" s="11" t="str">
        <f>IF(OR(tblEnrollment[[#This Row],[Blocked reason]] ="Medicaid additional enrollment is missing",tblEnrollment[[#This Row],[Blocked reason]] ="Incorrect PTAN/Provider number",tblEnrollment[[#This Row],[Blocked reason]] ="Medicare additional enrollment missing"),"Yes","No")</f>
        <v>No</v>
      </c>
      <c r="AG21" s="4" t="str">
        <f>IF(OR(tblEnrollment[[#This Row],[Enrollment Type ]]="Claims",tblEnrollment[[#This Row],[Enrollment Type ]]="Claims and ERA"),IF(AND(tblEnrollment[[#This Row],[Credentialing status]]="Completed",tblEnrollment[[#This Row],[Claims_Enrollment_Status]]="Approved",tblEnrollment[[#This Row],[EEP Status]]="Completed",AB21="NPI Match"),"Ready","Not Ready"),"Not Applicable")</f>
        <v>Ready</v>
      </c>
      <c r="AH21" s="4" t="str">
        <f>IF(OR(tblEnrollment[[#This Row],[Enrollment Type ]]="ERA",tblEnrollment[[#This Row],[Enrollment Type ]]="Claims and ERA"),IF(AND(tblEnrollment[[#This Row],[Credentialing status]]="Completed",tblEnrollment[[#This Row],[ERA Enrollment Status]]="Approved",tblEnrollment[[#This Row],[EEP Status]]="Completed",AB21="NPI Match"),"Ready","Not Ready"),"Not Applicable")</f>
        <v>Ready</v>
      </c>
      <c r="AI21" s="4" t="str">
        <f>IF(tblEnrollment[[#This Row],[Blocked reason]] ="No Blocker","No","Yes")</f>
        <v>No</v>
      </c>
    </row>
    <row r="22" spans="1:35" s="4" customFormat="1" x14ac:dyDescent="0.35">
      <c r="A22" s="7" t="s">
        <v>45</v>
      </c>
      <c r="B22" s="4" t="s">
        <v>116</v>
      </c>
      <c r="C22" s="4" t="s">
        <v>139</v>
      </c>
      <c r="D22" s="4" t="s">
        <v>71</v>
      </c>
      <c r="E22" s="4" t="s">
        <v>162</v>
      </c>
      <c r="F22" s="4" t="s">
        <v>162</v>
      </c>
      <c r="G22" s="4" t="s">
        <v>71</v>
      </c>
      <c r="H22" s="4" t="s">
        <v>185</v>
      </c>
      <c r="I22" s="4" t="s">
        <v>197</v>
      </c>
      <c r="J22" s="4" t="s">
        <v>205</v>
      </c>
      <c r="K22" s="4" t="s">
        <v>92</v>
      </c>
      <c r="L22" s="4" t="s">
        <v>93</v>
      </c>
      <c r="M22" s="4" t="s">
        <v>94</v>
      </c>
      <c r="N22" s="4" t="s">
        <v>83</v>
      </c>
      <c r="O22" s="4" t="s">
        <v>218</v>
      </c>
      <c r="P22" s="4" t="s">
        <v>219</v>
      </c>
      <c r="Q22" s="4" t="s">
        <v>85</v>
      </c>
      <c r="R22" s="4" t="s">
        <v>221</v>
      </c>
      <c r="S22" s="5">
        <v>46151</v>
      </c>
      <c r="U22" s="4" t="s">
        <v>222</v>
      </c>
      <c r="V22" s="4" t="s">
        <v>223</v>
      </c>
      <c r="W22" s="4" t="s">
        <v>88</v>
      </c>
      <c r="X22" s="5">
        <v>46179</v>
      </c>
      <c r="Y22" s="6" t="s">
        <v>256</v>
      </c>
      <c r="Z22" s="4">
        <f>IF(tblEnrollment[[#This Row],[Approved date]]="",DATE(2026,6,3)-tblEnrollment[[#This Row],[Submitted Date]],tblEnrollment[[#This Row],[Approved date]]-tblEnrollment[[#This Row],[Submitted Date]])</f>
        <v>25</v>
      </c>
      <c r="AA22" s="4" t="str">
        <f>IF(tblEnrollment[[#This Row],[Current Status]] ="Ready","Completed",IF(Z22&gt;21,"SLA Breached","Within SLA"))</f>
        <v>SLA Breached</v>
      </c>
      <c r="AB22" s="4" t="str">
        <f>IF(tblEnrollment[[#This Row],[Credentialed NPI]] =tblEnrollment[[#This Row],[Enrolled NPI]],"NPI Match","NPI Mismatch")</f>
        <v>NPI Mismatch</v>
      </c>
      <c r="AC22" s="4" t="str">
        <f>IF(OR(tblEnrollment[[#This Row],[Blocked reason]] ="Individual NPI used instead of Group NPI",tblEnrollment[[#This Row],[Blocked reason]] ="Credentialed NPI mismatch",tblEnrollment[[#This Row],[Blocked reason]] ="Incorrect PTAN/Provider number"),"Yes","No")</f>
        <v>Yes</v>
      </c>
      <c r="AD22" s="4" t="str">
        <f>IF(OR(tblEnrollment[[#This Row],[Blocked reason]] ="Wrong Payer ID",tblEnrollment[[#This Row],[Blocked reason]] ="Old Payer ID used"),"Yes","No")</f>
        <v>No</v>
      </c>
      <c r="AE22" s="4" t="str">
        <f>IF(OR(tblEnrollment[[#This Row],[EEP updated?]]="No",tblEnrollment[[#This Row],[Blocked reason]] ="Clearinghouse portal not updated"),"Yes","No")</f>
        <v>No</v>
      </c>
      <c r="AF22" s="11" t="str">
        <f>IF(OR(tblEnrollment[[#This Row],[Blocked reason]] ="Medicaid additional enrollment is missing",tblEnrollment[[#This Row],[Blocked reason]] ="Incorrect PTAN/Provider number",tblEnrollment[[#This Row],[Blocked reason]] ="Medicare additional enrollment missing"),"Yes","No")</f>
        <v>No</v>
      </c>
      <c r="AG22" s="4" t="str">
        <f>IF(OR(tblEnrollment[[#This Row],[Enrollment Type ]]="Claims",tblEnrollment[[#This Row],[Enrollment Type ]]="Claims and ERA"),IF(AND(tblEnrollment[[#This Row],[Credentialing status]]="Completed",tblEnrollment[[#This Row],[Claims_Enrollment_Status]]="Approved",tblEnrollment[[#This Row],[EEP Status]]="Completed",AB22="NPI Match"),"Ready","Not Ready"),"Not Applicable")</f>
        <v>Not Ready</v>
      </c>
      <c r="AH22" s="4" t="str">
        <f>IF(OR(tblEnrollment[[#This Row],[Enrollment Type ]]="ERA",tblEnrollment[[#This Row],[Enrollment Type ]]="Claims and ERA"),IF(AND(tblEnrollment[[#This Row],[Credentialing status]]="Completed",tblEnrollment[[#This Row],[ERA Enrollment Status]]="Approved",tblEnrollment[[#This Row],[EEP Status]]="Completed",AB22="NPI Match"),"Ready","Not Ready"),"Not Applicable")</f>
        <v>Not Applicable</v>
      </c>
      <c r="AI22" s="4" t="str">
        <f>IF(tblEnrollment[[#This Row],[Blocked reason]] ="No Blocker","No","Yes")</f>
        <v>Yes</v>
      </c>
    </row>
    <row r="23" spans="1:35" s="4" customFormat="1" x14ac:dyDescent="0.35">
      <c r="A23" s="7" t="s">
        <v>46</v>
      </c>
      <c r="B23" s="4" t="s">
        <v>117</v>
      </c>
      <c r="C23" s="4" t="s">
        <v>140</v>
      </c>
      <c r="D23" s="4" t="s">
        <v>72</v>
      </c>
      <c r="E23" s="4" t="s">
        <v>163</v>
      </c>
      <c r="F23" s="4" t="s">
        <v>163</v>
      </c>
      <c r="G23" s="4" t="s">
        <v>163</v>
      </c>
      <c r="H23" s="4" t="s">
        <v>186</v>
      </c>
      <c r="I23" s="4" t="s">
        <v>190</v>
      </c>
      <c r="J23" s="4" t="s">
        <v>214</v>
      </c>
      <c r="K23" s="4" t="s">
        <v>92</v>
      </c>
      <c r="L23" s="4" t="s">
        <v>215</v>
      </c>
      <c r="M23" s="4" t="s">
        <v>82</v>
      </c>
      <c r="N23" s="4" t="s">
        <v>83</v>
      </c>
      <c r="O23" s="4" t="s">
        <v>218</v>
      </c>
      <c r="P23" s="4" t="s">
        <v>95</v>
      </c>
      <c r="Q23" s="4" t="s">
        <v>85</v>
      </c>
      <c r="R23" s="4" t="s">
        <v>221</v>
      </c>
      <c r="S23" s="5">
        <v>46140</v>
      </c>
      <c r="U23" s="4" t="s">
        <v>222</v>
      </c>
      <c r="V23" s="4" t="s">
        <v>227</v>
      </c>
      <c r="W23" s="4" t="s">
        <v>88</v>
      </c>
      <c r="X23" s="5">
        <v>46178</v>
      </c>
      <c r="Y23" s="6" t="s">
        <v>257</v>
      </c>
      <c r="Z23" s="4">
        <f>IF(tblEnrollment[[#This Row],[Approved date]]="",DATE(2026,6,3)-tblEnrollment[[#This Row],[Submitted Date]],tblEnrollment[[#This Row],[Approved date]]-tblEnrollment[[#This Row],[Submitted Date]])</f>
        <v>36</v>
      </c>
      <c r="AA23" s="4" t="str">
        <f>IF(tblEnrollment[[#This Row],[Current Status]] ="Ready","Completed",IF(Z23&gt;21,"SLA Breached","Within SLA"))</f>
        <v>SLA Breached</v>
      </c>
      <c r="AB23" s="4" t="str">
        <f>IF(tblEnrollment[[#This Row],[Credentialed NPI]] =tblEnrollment[[#This Row],[Enrolled NPI]],"NPI Match","NPI Mismatch")</f>
        <v>NPI Match</v>
      </c>
      <c r="AC23" s="4" t="str">
        <f>IF(OR(tblEnrollment[[#This Row],[Blocked reason]] ="Individual NPI used instead of Group NPI",tblEnrollment[[#This Row],[Blocked reason]] ="Credentialed NPI mismatch",tblEnrollment[[#This Row],[Blocked reason]] ="Incorrect PTAN/Provider number"),"Yes","No")</f>
        <v>Yes</v>
      </c>
      <c r="AD23" s="4" t="str">
        <f>IF(OR(tblEnrollment[[#This Row],[Blocked reason]] ="Wrong Payer ID",tblEnrollment[[#This Row],[Blocked reason]] ="Old Payer ID used"),"Yes","No")</f>
        <v>No</v>
      </c>
      <c r="AE23" s="4" t="str">
        <f>IF(OR(tblEnrollment[[#This Row],[EEP updated?]]="No",tblEnrollment[[#This Row],[Blocked reason]] ="Clearinghouse portal not updated"),"Yes","No")</f>
        <v>No</v>
      </c>
      <c r="AF23" s="11" t="str">
        <f>IF(OR(tblEnrollment[[#This Row],[Blocked reason]] ="Medicaid additional enrollment is missing",tblEnrollment[[#This Row],[Blocked reason]] ="Incorrect PTAN/Provider number",tblEnrollment[[#This Row],[Blocked reason]] ="Medicare additional enrollment missing"),"Yes","No")</f>
        <v>Yes</v>
      </c>
      <c r="AG23" s="4" t="str">
        <f>IF(OR(tblEnrollment[[#This Row],[Enrollment Type ]]="Claims",tblEnrollment[[#This Row],[Enrollment Type ]]="Claims and ERA"),IF(AND(tblEnrollment[[#This Row],[Credentialing status]]="Completed",tblEnrollment[[#This Row],[Claims_Enrollment_Status]]="Approved",tblEnrollment[[#This Row],[EEP Status]]="Completed",AB23="NPI Match"),"Ready","Not Ready"),"Not Applicable")</f>
        <v>Not Ready</v>
      </c>
      <c r="AH23" s="4" t="str">
        <f>IF(OR(tblEnrollment[[#This Row],[Enrollment Type ]]="ERA",tblEnrollment[[#This Row],[Enrollment Type ]]="Claims and ERA"),IF(AND(tblEnrollment[[#This Row],[Credentialing status]]="Completed",tblEnrollment[[#This Row],[ERA Enrollment Status]]="Approved",tblEnrollment[[#This Row],[EEP Status]]="Completed",AB23="NPI Match"),"Ready","Not Ready"),"Not Applicable")</f>
        <v>Not Ready</v>
      </c>
      <c r="AI23" s="4" t="str">
        <f>IF(tblEnrollment[[#This Row],[Blocked reason]] ="No Blocker","No","Yes")</f>
        <v>Yes</v>
      </c>
    </row>
    <row r="24" spans="1:35" s="4" customFormat="1" x14ac:dyDescent="0.35">
      <c r="A24" s="7" t="s">
        <v>47</v>
      </c>
      <c r="B24" s="4" t="s">
        <v>118</v>
      </c>
      <c r="C24" s="4" t="s">
        <v>141</v>
      </c>
      <c r="D24" s="4" t="s">
        <v>73</v>
      </c>
      <c r="E24" s="4" t="s">
        <v>164</v>
      </c>
      <c r="F24" s="4" t="s">
        <v>164</v>
      </c>
      <c r="G24" s="4" t="s">
        <v>164</v>
      </c>
      <c r="H24" s="4" t="s">
        <v>187</v>
      </c>
      <c r="I24" s="4" t="s">
        <v>90</v>
      </c>
      <c r="J24" s="4" t="s">
        <v>206</v>
      </c>
      <c r="K24" s="4" t="s">
        <v>92</v>
      </c>
      <c r="L24" s="4" t="s">
        <v>93</v>
      </c>
      <c r="M24" s="4" t="s">
        <v>216</v>
      </c>
      <c r="N24" s="4" t="s">
        <v>83</v>
      </c>
      <c r="O24" s="4" t="s">
        <v>84</v>
      </c>
      <c r="P24" s="4" t="s">
        <v>95</v>
      </c>
      <c r="Q24" s="4" t="s">
        <v>97</v>
      </c>
      <c r="R24" s="4" t="s">
        <v>95</v>
      </c>
      <c r="S24" s="5">
        <v>46157</v>
      </c>
      <c r="U24" s="4" t="s">
        <v>95</v>
      </c>
      <c r="V24" s="4" t="s">
        <v>225</v>
      </c>
      <c r="W24" s="4" t="s">
        <v>234</v>
      </c>
      <c r="X24" s="5">
        <v>46181</v>
      </c>
      <c r="Y24" s="6" t="s">
        <v>258</v>
      </c>
      <c r="Z24" s="4">
        <f>IF(tblEnrollment[[#This Row],[Approved date]]="",DATE(2026,6,3)-tblEnrollment[[#This Row],[Submitted Date]],tblEnrollment[[#This Row],[Approved date]]-tblEnrollment[[#This Row],[Submitted Date]])</f>
        <v>19</v>
      </c>
      <c r="AA24" s="4" t="str">
        <f>IF(tblEnrollment[[#This Row],[Current Status]] ="Ready","Completed",IF(Z24&gt;21,"SLA Breached","Within SLA"))</f>
        <v>Within SLA</v>
      </c>
      <c r="AB24" s="4" t="str">
        <f>IF(tblEnrollment[[#This Row],[Credentialed NPI]] =tblEnrollment[[#This Row],[Enrolled NPI]],"NPI Match","NPI Mismatch")</f>
        <v>NPI Match</v>
      </c>
      <c r="AC24" s="4" t="str">
        <f>IF(OR(tblEnrollment[[#This Row],[Blocked reason]] ="Individual NPI used instead of Group NPI",tblEnrollment[[#This Row],[Blocked reason]] ="Credentialed NPI mismatch",tblEnrollment[[#This Row],[Blocked reason]] ="Incorrect PTAN/Provider number"),"Yes","No")</f>
        <v>No</v>
      </c>
      <c r="AD24" s="4" t="str">
        <f>IF(OR(tblEnrollment[[#This Row],[Blocked reason]] ="Wrong Payer ID",tblEnrollment[[#This Row],[Blocked reason]] ="Old Payer ID used"),"Yes","No")</f>
        <v>No</v>
      </c>
      <c r="AE24" s="4" t="str">
        <f>IF(OR(tblEnrollment[[#This Row],[EEP updated?]]="No",tblEnrollment[[#This Row],[Blocked reason]] ="Clearinghouse portal not updated"),"Yes","No")</f>
        <v>Yes</v>
      </c>
      <c r="AF24" s="11" t="str">
        <f>IF(OR(tblEnrollment[[#This Row],[Blocked reason]] ="Medicaid additional enrollment is missing",tblEnrollment[[#This Row],[Blocked reason]] ="Incorrect PTAN/Provider number",tblEnrollment[[#This Row],[Blocked reason]] ="Medicare additional enrollment missing"),"Yes","No")</f>
        <v>No</v>
      </c>
      <c r="AG24" s="4" t="str">
        <f>IF(OR(tblEnrollment[[#This Row],[Enrollment Type ]]="Claims",tblEnrollment[[#This Row],[Enrollment Type ]]="Claims and ERA"),IF(AND(tblEnrollment[[#This Row],[Credentialing status]]="Completed",tblEnrollment[[#This Row],[Claims_Enrollment_Status]]="Approved",tblEnrollment[[#This Row],[EEP Status]]="Completed",AB24="NPI Match"),"Ready","Not Ready"),"Not Applicable")</f>
        <v>Not Applicable</v>
      </c>
      <c r="AH24" s="4" t="str">
        <f>IF(OR(tblEnrollment[[#This Row],[Enrollment Type ]]="ERA",tblEnrollment[[#This Row],[Enrollment Type ]]="Claims and ERA"),IF(AND(tblEnrollment[[#This Row],[Credentialing status]]="Completed",tblEnrollment[[#This Row],[ERA Enrollment Status]]="Approved",tblEnrollment[[#This Row],[EEP Status]]="Completed",AB24="NPI Match"),"Ready","Not Ready"),"Not Applicable")</f>
        <v>Not Ready</v>
      </c>
      <c r="AI24" s="4" t="str">
        <f>IF(tblEnrollment[[#This Row],[Blocked reason]] ="No Blocker","No","Yes")</f>
        <v>Yes</v>
      </c>
    </row>
    <row r="25" spans="1:35" s="4" customFormat="1" x14ac:dyDescent="0.35">
      <c r="A25" s="7" t="s">
        <v>48</v>
      </c>
      <c r="B25" s="4" t="s">
        <v>119</v>
      </c>
      <c r="C25" s="4" t="s">
        <v>142</v>
      </c>
      <c r="D25" s="4" t="s">
        <v>74</v>
      </c>
      <c r="E25" s="4" t="s">
        <v>165</v>
      </c>
      <c r="F25" s="4" t="s">
        <v>165</v>
      </c>
      <c r="G25" s="4" t="s">
        <v>165</v>
      </c>
      <c r="H25" s="4" t="s">
        <v>188</v>
      </c>
      <c r="I25" s="4" t="s">
        <v>196</v>
      </c>
      <c r="J25" s="4" t="s">
        <v>207</v>
      </c>
      <c r="K25" s="4" t="s">
        <v>92</v>
      </c>
      <c r="L25" s="4" t="s">
        <v>93</v>
      </c>
      <c r="M25" s="4" t="s">
        <v>82</v>
      </c>
      <c r="N25" s="4" t="s">
        <v>217</v>
      </c>
      <c r="O25" s="4" t="s">
        <v>96</v>
      </c>
      <c r="P25" s="4" t="s">
        <v>96</v>
      </c>
      <c r="Q25" s="4" t="s">
        <v>97</v>
      </c>
      <c r="R25" s="4" t="s">
        <v>96</v>
      </c>
      <c r="S25" s="5">
        <v>46164</v>
      </c>
      <c r="U25" s="4" t="s">
        <v>95</v>
      </c>
      <c r="V25" s="4" t="s">
        <v>229</v>
      </c>
      <c r="W25" s="4" t="s">
        <v>235</v>
      </c>
      <c r="X25" s="5">
        <v>46184</v>
      </c>
      <c r="Y25" s="6" t="s">
        <v>259</v>
      </c>
      <c r="Z25" s="4">
        <f>IF(tblEnrollment[[#This Row],[Approved date]]="",DATE(2026,6,3)-tblEnrollment[[#This Row],[Submitted Date]],tblEnrollment[[#This Row],[Approved date]]-tblEnrollment[[#This Row],[Submitted Date]])</f>
        <v>12</v>
      </c>
      <c r="AA25" s="4" t="str">
        <f>IF(tblEnrollment[[#This Row],[Current Status]] ="Ready","Completed",IF(Z25&gt;21,"SLA Breached","Within SLA"))</f>
        <v>Within SLA</v>
      </c>
      <c r="AB25" s="4" t="str">
        <f>IF(tblEnrollment[[#This Row],[Credentialed NPI]] =tblEnrollment[[#This Row],[Enrolled NPI]],"NPI Match","NPI Mismatch")</f>
        <v>NPI Match</v>
      </c>
      <c r="AC25" s="4" t="str">
        <f>IF(OR(tblEnrollment[[#This Row],[Blocked reason]] ="Individual NPI used instead of Group NPI",tblEnrollment[[#This Row],[Blocked reason]] ="Credentialed NPI mismatch",tblEnrollment[[#This Row],[Blocked reason]] ="Incorrect PTAN/Provider number"),"Yes","No")</f>
        <v>No</v>
      </c>
      <c r="AD25" s="4" t="str">
        <f>IF(OR(tblEnrollment[[#This Row],[Blocked reason]] ="Wrong Payer ID",tblEnrollment[[#This Row],[Blocked reason]] ="Old Payer ID used"),"Yes","No")</f>
        <v>No</v>
      </c>
      <c r="AE25" s="4" t="str">
        <f>IF(OR(tblEnrollment[[#This Row],[EEP updated?]]="No",tblEnrollment[[#This Row],[Blocked reason]] ="Clearinghouse portal not updated"),"Yes","No")</f>
        <v>Yes</v>
      </c>
      <c r="AF25" s="11" t="str">
        <f>IF(OR(tblEnrollment[[#This Row],[Blocked reason]] ="Medicaid additional enrollment is missing",tblEnrollment[[#This Row],[Blocked reason]] ="Incorrect PTAN/Provider number",tblEnrollment[[#This Row],[Blocked reason]] ="Medicare additional enrollment missing"),"Yes","No")</f>
        <v>No</v>
      </c>
      <c r="AG25" s="4" t="str">
        <f>IF(OR(tblEnrollment[[#This Row],[Enrollment Type ]]="Claims",tblEnrollment[[#This Row],[Enrollment Type ]]="Claims and ERA"),IF(AND(tblEnrollment[[#This Row],[Credentialing status]]="Completed",tblEnrollment[[#This Row],[Claims_Enrollment_Status]]="Approved",tblEnrollment[[#This Row],[EEP Status]]="Completed",AB25="NPI Match"),"Ready","Not Ready"),"Not Applicable")</f>
        <v>Not Ready</v>
      </c>
      <c r="AH25" s="4" t="str">
        <f>IF(OR(tblEnrollment[[#This Row],[Enrollment Type ]]="ERA",tblEnrollment[[#This Row],[Enrollment Type ]]="Claims and ERA"),IF(AND(tblEnrollment[[#This Row],[Credentialing status]]="Completed",tblEnrollment[[#This Row],[ERA Enrollment Status]]="Approved",tblEnrollment[[#This Row],[EEP Status]]="Completed",AB25="NPI Match"),"Ready","Not Ready"),"Not Applicable")</f>
        <v>Not Ready</v>
      </c>
      <c r="AI25" s="4" t="str">
        <f>IF(tblEnrollment[[#This Row],[Blocked reason]] ="No Blocker","No","Yes")</f>
        <v>Yes</v>
      </c>
    </row>
    <row r="26" spans="1:35" s="8" customFormat="1" x14ac:dyDescent="0.35">
      <c r="A26" s="15" t="s">
        <v>49</v>
      </c>
      <c r="B26" s="8" t="s">
        <v>120</v>
      </c>
      <c r="C26" s="8" t="s">
        <v>143</v>
      </c>
      <c r="D26" s="8" t="s">
        <v>75</v>
      </c>
      <c r="E26" s="8" t="s">
        <v>166</v>
      </c>
      <c r="F26" s="8" t="s">
        <v>166</v>
      </c>
      <c r="G26" s="8" t="s">
        <v>166</v>
      </c>
      <c r="H26" s="8" t="s">
        <v>189</v>
      </c>
      <c r="I26" s="8" t="s">
        <v>194</v>
      </c>
      <c r="J26" s="8" t="s">
        <v>208</v>
      </c>
      <c r="K26" s="8" t="s">
        <v>92</v>
      </c>
      <c r="L26" s="8" t="s">
        <v>93</v>
      </c>
      <c r="M26" s="8" t="s">
        <v>82</v>
      </c>
      <c r="N26" s="8" t="s">
        <v>83</v>
      </c>
      <c r="O26" s="8" t="s">
        <v>84</v>
      </c>
      <c r="P26" s="8" t="s">
        <v>84</v>
      </c>
      <c r="Q26" s="8" t="s">
        <v>85</v>
      </c>
      <c r="R26" s="8" t="s">
        <v>83</v>
      </c>
      <c r="S26" s="16">
        <v>46115</v>
      </c>
      <c r="T26" s="16">
        <v>46131</v>
      </c>
      <c r="U26" s="8" t="s">
        <v>86</v>
      </c>
      <c r="V26" s="8" t="s">
        <v>87</v>
      </c>
      <c r="W26" s="8" t="s">
        <v>88</v>
      </c>
      <c r="X26" s="16">
        <v>46176</v>
      </c>
      <c r="Y26" s="17" t="s">
        <v>89</v>
      </c>
      <c r="Z26" s="8">
        <f>IF(tblEnrollment[[#This Row],[Approved date]]="",DATE(2026,6,3)-tblEnrollment[[#This Row],[Submitted Date]],tblEnrollment[[#This Row],[Approved date]]-tblEnrollment[[#This Row],[Submitted Date]])</f>
        <v>16</v>
      </c>
      <c r="AA26" s="8" t="str">
        <f>IF(tblEnrollment[[#This Row],[Current Status]] ="Ready","Completed",IF(Z26&gt;21,"SLA Breached","Within SLA"))</f>
        <v>Completed</v>
      </c>
      <c r="AB26" s="8" t="str">
        <f>IF(tblEnrollment[[#This Row],[Credentialed NPI]] =tblEnrollment[[#This Row],[Enrolled NPI]],"NPI Match","NPI Mismatch")</f>
        <v>NPI Match</v>
      </c>
      <c r="AC26" s="8" t="str">
        <f>IF(OR(tblEnrollment[[#This Row],[Blocked reason]] ="Individual NPI used instead of Group NPI",tblEnrollment[[#This Row],[Blocked reason]] ="Credentialed NPI mismatch",tblEnrollment[[#This Row],[Blocked reason]] ="Incorrect PTAN/Provider number"),"Yes","No")</f>
        <v>No</v>
      </c>
      <c r="AD26" s="8" t="str">
        <f>IF(OR(tblEnrollment[[#This Row],[Blocked reason]] ="Wrong Payer ID",tblEnrollment[[#This Row],[Blocked reason]] ="Old Payer ID used"),"Yes","No")</f>
        <v>No</v>
      </c>
      <c r="AE26" s="8" t="str">
        <f>IF(OR(tblEnrollment[[#This Row],[EEP updated?]]="No",tblEnrollment[[#This Row],[Blocked reason]] ="Clearinghouse portal not updated"),"Yes","No")</f>
        <v>No</v>
      </c>
      <c r="AF26" s="19" t="str">
        <f>IF(OR(tblEnrollment[[#This Row],[Blocked reason]] ="Medicaid additional enrollment is missing",tblEnrollment[[#This Row],[Blocked reason]] ="Incorrect PTAN/Provider number",tblEnrollment[[#This Row],[Blocked reason]] ="Medicare additional enrollment missing"),"Yes","No")</f>
        <v>No</v>
      </c>
      <c r="AG26" s="8" t="str">
        <f>IF(OR(tblEnrollment[[#This Row],[Enrollment Type ]]="Claims",tblEnrollment[[#This Row],[Enrollment Type ]]="Claims and ERA"),IF(AND(tblEnrollment[[#This Row],[Credentialing status]]="Completed",tblEnrollment[[#This Row],[Claims_Enrollment_Status]]="Approved",tblEnrollment[[#This Row],[EEP Status]]="Completed",AB26="NPI Match"),"Ready","Not Ready"),"Not Applicable")</f>
        <v>Ready</v>
      </c>
      <c r="AH26" s="8" t="str">
        <f>IF(OR(tblEnrollment[[#This Row],[Enrollment Type ]]="ERA",tblEnrollment[[#This Row],[Enrollment Type ]]="Claims and ERA"),IF(AND(tblEnrollment[[#This Row],[Credentialing status]]="Completed",tblEnrollment[[#This Row],[ERA Enrollment Status]]="Approved",tblEnrollment[[#This Row],[EEP Status]]="Completed",AB26="NPI Match"),"Ready","Not Ready"),"Not Applicable")</f>
        <v>Ready</v>
      </c>
      <c r="AI26" s="8" t="str">
        <f>IF(tblEnrollment[[#This Row],[Blocked reason]] ="No Blocker","No","Yes")</f>
        <v>No</v>
      </c>
    </row>
    <row r="27" spans="1:35" s="8" customFormat="1" x14ac:dyDescent="0.35">
      <c r="A27"/>
      <c r="S27" s="16"/>
      <c r="X27" s="16"/>
      <c r="Y27" s="17"/>
    </row>
    <row r="28" spans="1:35" x14ac:dyDescent="0.35">
      <c r="B28" s="2" t="s">
        <v>306</v>
      </c>
      <c r="C28" s="3">
        <f>ROWS(tblEnrollment[Record_ID])</f>
        <v>25</v>
      </c>
    </row>
    <row r="29" spans="1:35" x14ac:dyDescent="0.35">
      <c r="B29" s="2" t="s">
        <v>313</v>
      </c>
      <c r="C29" s="2">
        <f>COUNTIFS(Z2:Z26,"&gt;21",tblEnrollment[Current Status],"&lt;&gt;Ready")</f>
        <v>13</v>
      </c>
    </row>
    <row r="30" spans="1:35" x14ac:dyDescent="0.35">
      <c r="B30" s="2" t="s">
        <v>307</v>
      </c>
      <c r="C30" s="2">
        <f>COUNTBLANK(tblEnrollment[Record_ID])</f>
        <v>0</v>
      </c>
    </row>
    <row r="31" spans="1:35" x14ac:dyDescent="0.35">
      <c r="B31" s="2" t="s">
        <v>308</v>
      </c>
      <c r="C31" s="2">
        <f>COUNTBLANK(tblEnrollment[Payer Name])</f>
        <v>0</v>
      </c>
    </row>
    <row r="32" spans="1:35" x14ac:dyDescent="0.35">
      <c r="B32" s="2" t="s">
        <v>309</v>
      </c>
      <c r="C32" s="2">
        <f>COUNTBLANK(tblEnrollment[[#Headers],[#Data],[Provider Name]])</f>
        <v>0</v>
      </c>
    </row>
    <row r="33" spans="2:3" x14ac:dyDescent="0.35">
      <c r="B33" s="2" t="s">
        <v>310</v>
      </c>
      <c r="C33" s="2">
        <f>COUNTBLANK(tblEnrollment[Submitted Date])</f>
        <v>0</v>
      </c>
    </row>
    <row r="34" spans="2:3" x14ac:dyDescent="0.35">
      <c r="B34" s="2" t="s">
        <v>311</v>
      </c>
      <c r="C34" s="2">
        <f>COUNTBLANK(tblEnrollment[Current Status])</f>
        <v>0</v>
      </c>
    </row>
    <row r="35" spans="2:3" x14ac:dyDescent="0.35">
      <c r="B35" s="2" t="s">
        <v>312</v>
      </c>
      <c r="C35" s="2">
        <f>COUNTIF(AB2:AB26,"NPI Mismatch")</f>
        <v>5</v>
      </c>
    </row>
    <row r="36" spans="2:3" x14ac:dyDescent="0.35">
      <c r="B36" s="2" t="s">
        <v>314</v>
      </c>
      <c r="C36" s="2">
        <f>COUNTIF(AA1:AA26,"=SLA Breached")</f>
        <v>13</v>
      </c>
    </row>
    <row r="37" spans="2:3" x14ac:dyDescent="0.35">
      <c r="B37" s="2" t="s">
        <v>315</v>
      </c>
      <c r="C37" s="2">
        <f>COUNTIF(AG1:AG26,"=Ready")</f>
        <v>6</v>
      </c>
    </row>
    <row r="38" spans="2:3" x14ac:dyDescent="0.35">
      <c r="B38" s="2" t="s">
        <v>316</v>
      </c>
      <c r="C38" s="2">
        <f>COUNTIF(AH1:AH26,"=Ready")</f>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A9" sqref="A9"/>
    </sheetView>
  </sheetViews>
  <sheetFormatPr defaultRowHeight="14.5" x14ac:dyDescent="0.35"/>
  <cols>
    <col min="1" max="1" width="19.7265625" bestFit="1" customWidth="1"/>
    <col min="2" max="2" width="16.08984375" customWidth="1"/>
    <col min="3" max="3" width="13.7265625" customWidth="1"/>
    <col min="4" max="4" width="13.54296875" customWidth="1"/>
  </cols>
  <sheetData>
    <row r="1" spans="1:4" x14ac:dyDescent="0.35">
      <c r="A1" t="s">
        <v>318</v>
      </c>
      <c r="B1" t="s">
        <v>319</v>
      </c>
      <c r="C1" t="s">
        <v>320</v>
      </c>
      <c r="D1" t="s">
        <v>321</v>
      </c>
    </row>
    <row r="2" spans="1:4" x14ac:dyDescent="0.35">
      <c r="A2" t="s">
        <v>306</v>
      </c>
      <c r="B2">
        <v>25</v>
      </c>
      <c r="C2">
        <f>ROWS(tblEnrollment[Record_ID])</f>
        <v>25</v>
      </c>
      <c r="D2" t="str">
        <f>IF(Table2[[#This Row],[Expected Result]]=Table2[[#This Row],[Actual Result]],"Pass","Check")</f>
        <v>Pass</v>
      </c>
    </row>
    <row r="3" spans="1:4" x14ac:dyDescent="0.35">
      <c r="A3" t="s">
        <v>322</v>
      </c>
      <c r="B3">
        <v>0</v>
      </c>
      <c r="C3">
        <f>COUNTBLANK(tblEnrollment[Record_ID])</f>
        <v>0</v>
      </c>
      <c r="D3" t="str">
        <f>IF(Table2[[#This Row],[Expected Result]]=Table2[[#This Row],[Actual Result]],"Pass","Check")</f>
        <v>Pass</v>
      </c>
    </row>
    <row r="4" spans="1:4" x14ac:dyDescent="0.35">
      <c r="A4" t="s">
        <v>323</v>
      </c>
      <c r="B4">
        <v>0</v>
      </c>
      <c r="C4">
        <f>COUNTBLANK(tblEnrollment[Practice Name])</f>
        <v>0</v>
      </c>
      <c r="D4" t="str">
        <f>IF(Table2[[#This Row],[Expected Result]]=Table2[[#This Row],[Actual Result]],"Pass","Check")</f>
        <v>Pass</v>
      </c>
    </row>
    <row r="5" spans="1:4" x14ac:dyDescent="0.35">
      <c r="A5" t="s">
        <v>308</v>
      </c>
      <c r="B5">
        <v>0</v>
      </c>
      <c r="C5">
        <f>COUNTBLANK(tblEnrollment[Payer Name])</f>
        <v>0</v>
      </c>
      <c r="D5" t="str">
        <f>IF(Table2[[#This Row],[Expected Result]]=Table2[[#This Row],[Actual Result]],"Pass","Check")</f>
        <v>Pass</v>
      </c>
    </row>
    <row r="6" spans="1:4" x14ac:dyDescent="0.35">
      <c r="A6" t="s">
        <v>310</v>
      </c>
      <c r="B6">
        <v>0</v>
      </c>
      <c r="C6">
        <f>COUNTBLANK(tblEnrollment[Submitted Date])</f>
        <v>0</v>
      </c>
      <c r="D6" t="str">
        <f>IF(Table2[[#This Row],[Expected Result]]=Table2[[#This Row],[Actual Result]],"Pass","Check")</f>
        <v>Pass</v>
      </c>
    </row>
    <row r="7" spans="1:4" x14ac:dyDescent="0.35">
      <c r="A7" t="s">
        <v>311</v>
      </c>
      <c r="B7">
        <v>0</v>
      </c>
      <c r="C7">
        <f>ROWS(tblEnrollment[Current Status])-SUM(COUNTIF(tblEnrollment[Current Status],"Ready")+COUNTIF(tblEnrollment[Current Status],"Pending")+COUNTIF(tblEnrollment[Current Status],"Blocked"))</f>
        <v>0</v>
      </c>
      <c r="D7" t="str">
        <f>IF(Table2[[#This Row],[Expected Result]]=Table2[[#This Row],[Actual Result]],"Pass","Check")</f>
        <v>Pass</v>
      </c>
    </row>
    <row r="8" spans="1:4" x14ac:dyDescent="0.35">
      <c r="A8" t="s">
        <v>338</v>
      </c>
      <c r="B8">
        <v>5</v>
      </c>
      <c r="C8">
        <f>COUNTIF(working_clean_data!AB2:AB26,"NPI Mismatch")</f>
        <v>5</v>
      </c>
      <c r="D8" t="str">
        <f>IF(Table2[[#This Row],[Expected Result]]=Table2[[#This Row],[Actual Result]],"Pass","Check")</f>
        <v>Pass</v>
      </c>
    </row>
    <row r="9" spans="1:4" x14ac:dyDescent="0.35">
      <c r="A9" t="s">
        <v>305</v>
      </c>
      <c r="B9">
        <v>13</v>
      </c>
      <c r="C9">
        <f>COUNTIF(working_clean_data!Z2:Z26,"&gt;21")</f>
        <v>13</v>
      </c>
      <c r="D9" t="str">
        <f>IF(Table2[[#This Row],[Expected Result]]=Table2[[#This Row],[Actual Result]],"Pass","Check")</f>
        <v>Pass</v>
      </c>
    </row>
    <row r="10" spans="1:4" x14ac:dyDescent="0.35">
      <c r="A10" t="s">
        <v>324</v>
      </c>
      <c r="B10">
        <v>13</v>
      </c>
      <c r="C10">
        <f>COUNTIF(working_clean_data!AA2:AA26,"SLA Breached")</f>
        <v>13</v>
      </c>
      <c r="D10" t="str">
        <f>IF(Table2[[#This Row],[Expected Result]]=Table2[[#This Row],[Actual Result]],"Pass","Check")</f>
        <v>Pass</v>
      </c>
    </row>
    <row r="11" spans="1:4" x14ac:dyDescent="0.35">
      <c r="A11" t="s">
        <v>336</v>
      </c>
      <c r="B11">
        <v>6</v>
      </c>
      <c r="C11">
        <f>COUNTIF(working_clean_data!AG2:AG26,"Ready")</f>
        <v>6</v>
      </c>
      <c r="D11" t="str">
        <f>IF(Table2[[#This Row],[Expected Result]]=Table2[[#This Row],[Actual Result]],"Pass","Check")</f>
        <v>Pass</v>
      </c>
    </row>
    <row r="12" spans="1:4" x14ac:dyDescent="0.35">
      <c r="A12" t="s">
        <v>337</v>
      </c>
      <c r="B12">
        <v>4</v>
      </c>
      <c r="C12">
        <f>COUNTIF(working_clean_data!AH2:AH26,"Ready")</f>
        <v>4</v>
      </c>
      <c r="D12" t="str">
        <f>IF(Table2[[#This Row],[Expected Result]]=Table2[[#This Row],[Actual Result]],"Pass","Check")</f>
        <v>Pass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selection activeCell="D26" sqref="D26"/>
    </sheetView>
  </sheetViews>
  <sheetFormatPr defaultRowHeight="14.5" x14ac:dyDescent="0.35"/>
  <cols>
    <col min="1" max="1" width="28.08984375" customWidth="1"/>
    <col min="4" max="4" width="17" bestFit="1" customWidth="1"/>
    <col min="5" max="5" width="12.1796875" bestFit="1" customWidth="1"/>
    <col min="6" max="6" width="5.90625" bestFit="1" customWidth="1"/>
    <col min="7" max="7" width="7.54296875" bestFit="1" customWidth="1"/>
    <col min="8" max="8" width="7.36328125" bestFit="1" customWidth="1"/>
    <col min="9" max="9" width="12" bestFit="1" customWidth="1"/>
  </cols>
  <sheetData>
    <row r="1" spans="1:11" x14ac:dyDescent="0.35">
      <c r="A1" s="31" t="s">
        <v>329</v>
      </c>
      <c r="B1" s="31"/>
      <c r="C1" s="31"/>
      <c r="D1" s="31"/>
      <c r="E1" s="31"/>
      <c r="F1" s="31"/>
      <c r="G1" s="31"/>
      <c r="H1" s="31"/>
      <c r="I1" s="31"/>
      <c r="J1" s="31"/>
      <c r="K1" s="31"/>
    </row>
    <row r="2" spans="1:11" ht="15" thickBot="1" x14ac:dyDescent="0.4"/>
    <row r="3" spans="1:11" x14ac:dyDescent="0.35">
      <c r="A3" s="20" t="s">
        <v>330</v>
      </c>
      <c r="B3" s="21" t="s">
        <v>331</v>
      </c>
      <c r="D3" s="20" t="s">
        <v>7</v>
      </c>
      <c r="E3" s="28" t="s">
        <v>306</v>
      </c>
      <c r="F3" s="28" t="s">
        <v>86</v>
      </c>
      <c r="G3" s="28" t="s">
        <v>95</v>
      </c>
      <c r="H3" s="28" t="s">
        <v>222</v>
      </c>
      <c r="I3" s="21" t="s">
        <v>355</v>
      </c>
    </row>
    <row r="4" spans="1:11" x14ac:dyDescent="0.35">
      <c r="A4" s="22" t="s">
        <v>263</v>
      </c>
      <c r="B4" s="23">
        <f>ROWS(tblEnrollment[Record_ID])</f>
        <v>25</v>
      </c>
      <c r="D4" s="22" t="s">
        <v>78</v>
      </c>
      <c r="E4" s="29">
        <f>COUNTIF(tblEnrollment[Payer Name],summary_metrics!D4)</f>
        <v>4</v>
      </c>
      <c r="F4" s="29">
        <f>COUNTIFS(tblEnrollment[Payer Name],summary_metrics!D4,tblEnrollment[Current Status],"Ready")</f>
        <v>1</v>
      </c>
      <c r="G4" s="29">
        <f>COUNTIFS(tblEnrollment[Payer Name],summary_metrics!D4,tblEnrollment[Current Status],"Pending")</f>
        <v>1</v>
      </c>
      <c r="H4" s="29">
        <f>COUNTIFS(tblEnrollment[Payer Name],summary_metrics!D4,tblEnrollment[Current Status],"Blocked")</f>
        <v>2</v>
      </c>
      <c r="I4" s="23">
        <f>COUNTIFS(tblEnrollment[Payer Name],summary_metrics!D4,tblEnrollment[SLA Status],"SLA Breached")</f>
        <v>2</v>
      </c>
    </row>
    <row r="5" spans="1:11" x14ac:dyDescent="0.35">
      <c r="A5" s="22" t="s">
        <v>266</v>
      </c>
      <c r="B5" s="23">
        <f>COUNTIF(tblEnrollment[Current Status],"Ready")</f>
        <v>7</v>
      </c>
      <c r="D5" s="22" t="s">
        <v>90</v>
      </c>
      <c r="E5" s="29">
        <f>COUNTIF(tblEnrollment[Payer Name],summary_metrics!D5)</f>
        <v>4</v>
      </c>
      <c r="F5" s="29">
        <f>COUNTIFS(tblEnrollment[Payer Name],summary_metrics!D5,tblEnrollment[Current Status],"Ready")</f>
        <v>1</v>
      </c>
      <c r="G5" s="29">
        <f>COUNTIFS(tblEnrollment[Payer Name],summary_metrics!D5,tblEnrollment[Current Status],"Pending")</f>
        <v>2</v>
      </c>
      <c r="H5" s="29">
        <f>COUNTIFS(tblEnrollment[Payer Name],summary_metrics!D5,tblEnrollment[Current Status],"Blocked")</f>
        <v>1</v>
      </c>
      <c r="I5" s="23">
        <f>COUNTIFS(tblEnrollment[Payer Name],summary_metrics!D5,tblEnrollment[SLA Status],"SLA Breached")</f>
        <v>2</v>
      </c>
    </row>
    <row r="6" spans="1:11" x14ac:dyDescent="0.35">
      <c r="A6" s="22" t="s">
        <v>269</v>
      </c>
      <c r="B6" s="23">
        <f>COUNTIF(tblEnrollment[Current Status],"Pending")</f>
        <v>9</v>
      </c>
      <c r="D6" s="22" t="s">
        <v>190</v>
      </c>
      <c r="E6" s="29">
        <f>COUNTIF(tblEnrollment[Payer Name],summary_metrics!D6)</f>
        <v>3</v>
      </c>
      <c r="F6" s="29">
        <f>COUNTIFS(tblEnrollment[Payer Name],summary_metrics!D6,tblEnrollment[Current Status],"Ready")</f>
        <v>1</v>
      </c>
      <c r="G6" s="29">
        <f>COUNTIFS(tblEnrollment[Payer Name],summary_metrics!D6,tblEnrollment[Current Status],"Pending")</f>
        <v>0</v>
      </c>
      <c r="H6" s="29">
        <f>COUNTIFS(tblEnrollment[Payer Name],summary_metrics!D6,tblEnrollment[Current Status],"Blocked")</f>
        <v>2</v>
      </c>
      <c r="I6" s="23">
        <f>COUNTIFS(tblEnrollment[Payer Name],summary_metrics!D6,tblEnrollment[SLA Status],"SLA Breached")</f>
        <v>2</v>
      </c>
    </row>
    <row r="7" spans="1:11" x14ac:dyDescent="0.35">
      <c r="A7" s="22" t="s">
        <v>272</v>
      </c>
      <c r="B7" s="23">
        <f>COUNTIF(tblEnrollment[Current Status],"Blocked")</f>
        <v>9</v>
      </c>
      <c r="D7" s="22" t="s">
        <v>191</v>
      </c>
      <c r="E7" s="29">
        <f>COUNTIF(tblEnrollment[Payer Name],summary_metrics!D7)</f>
        <v>3</v>
      </c>
      <c r="F7" s="29">
        <f>COUNTIFS(tblEnrollment[Payer Name],summary_metrics!D7,tblEnrollment[Current Status],"Ready")</f>
        <v>1</v>
      </c>
      <c r="G7" s="29">
        <f>COUNTIFS(tblEnrollment[Payer Name],summary_metrics!D7,tblEnrollment[Current Status],"Pending")</f>
        <v>2</v>
      </c>
      <c r="H7" s="29">
        <f>COUNTIFS(tblEnrollment[Payer Name],summary_metrics!D7,tblEnrollment[Current Status],"Blocked")</f>
        <v>0</v>
      </c>
      <c r="I7" s="23">
        <f>COUNTIFS(tblEnrollment[Payer Name],summary_metrics!D7,tblEnrollment[SLA Status],"SLA Breached")</f>
        <v>1</v>
      </c>
    </row>
    <row r="8" spans="1:11" x14ac:dyDescent="0.35">
      <c r="A8" s="22" t="s">
        <v>332</v>
      </c>
      <c r="B8" s="23">
        <f>COUNTIF(tblEnrollment[Action Required Flag],"Yes")</f>
        <v>18</v>
      </c>
      <c r="D8" s="22" t="s">
        <v>194</v>
      </c>
      <c r="E8" s="29">
        <f>COUNTIF(tblEnrollment[Payer Name],summary_metrics!D8)</f>
        <v>4</v>
      </c>
      <c r="F8" s="29">
        <f>COUNTIFS(tblEnrollment[Payer Name],summary_metrics!D8,tblEnrollment[Current Status],"Ready")</f>
        <v>2</v>
      </c>
      <c r="G8" s="29">
        <f>COUNTIFS(tblEnrollment[Payer Name],summary_metrics!D8,tblEnrollment[Current Status],"Pending")</f>
        <v>0</v>
      </c>
      <c r="H8" s="29">
        <f>COUNTIFS(tblEnrollment[Payer Name],summary_metrics!D8,tblEnrollment[Current Status],"Blocked")</f>
        <v>2</v>
      </c>
      <c r="I8" s="23">
        <f>COUNTIFS(tblEnrollment[Payer Name],summary_metrics!D8,tblEnrollment[SLA Status],"SLA Breached")</f>
        <v>2</v>
      </c>
    </row>
    <row r="9" spans="1:11" x14ac:dyDescent="0.35">
      <c r="A9" s="22" t="s">
        <v>333</v>
      </c>
      <c r="B9" s="23">
        <f>COUNTIF(tblEnrollment[SLA Status],"SLA Breached")</f>
        <v>13</v>
      </c>
      <c r="D9" s="22" t="s">
        <v>196</v>
      </c>
      <c r="E9" s="29">
        <f>COUNTIF(tblEnrollment[Payer Name],summary_metrics!D9)</f>
        <v>4</v>
      </c>
      <c r="F9" s="29">
        <f>COUNTIFS(tblEnrollment[Payer Name],summary_metrics!D9,tblEnrollment[Current Status],"Ready")</f>
        <v>0</v>
      </c>
      <c r="G9" s="29">
        <f>COUNTIFS(tblEnrollment[Payer Name],summary_metrics!D9,tblEnrollment[Current Status],"Pending")</f>
        <v>3</v>
      </c>
      <c r="H9" s="29">
        <f>COUNTIFS(tblEnrollment[Payer Name],summary_metrics!D9,tblEnrollment[Current Status],"Blocked")</f>
        <v>1</v>
      </c>
      <c r="I9" s="23">
        <f>COUNTIFS(tblEnrollment[Payer Name],summary_metrics!D9,tblEnrollment[SLA Status],"SLA Breached")</f>
        <v>2</v>
      </c>
    </row>
    <row r="10" spans="1:11" ht="15" thickBot="1" x14ac:dyDescent="0.4">
      <c r="A10" s="22" t="s">
        <v>334</v>
      </c>
      <c r="B10" s="23">
        <f>AVERAGE(tblEnrollment[Aging Days])</f>
        <v>23.84</v>
      </c>
      <c r="D10" s="24" t="s">
        <v>197</v>
      </c>
      <c r="E10" s="30">
        <f>COUNTIF(tblEnrollment[Payer Name],summary_metrics!D10)</f>
        <v>3</v>
      </c>
      <c r="F10" s="30">
        <f>COUNTIFS(tblEnrollment[Payer Name],summary_metrics!D10,tblEnrollment[Current Status],"Ready")</f>
        <v>1</v>
      </c>
      <c r="G10" s="30">
        <f>COUNTIFS(tblEnrollment[Payer Name],summary_metrics!D10,tblEnrollment[Current Status],"Pending")</f>
        <v>1</v>
      </c>
      <c r="H10" s="30">
        <f>COUNTIFS(tblEnrollment[Payer Name],summary_metrics!D10,tblEnrollment[Current Status],"Blocked")</f>
        <v>1</v>
      </c>
      <c r="I10" s="25">
        <f>COUNTIFS(tblEnrollment[Payer Name],summary_metrics!D10,tblEnrollment[SLA Status],"SLA Breached")</f>
        <v>2</v>
      </c>
    </row>
    <row r="11" spans="1:11" x14ac:dyDescent="0.35">
      <c r="A11" s="22" t="s">
        <v>335</v>
      </c>
      <c r="B11" s="23">
        <f>COUNTIF(tblEnrollment[Claims Ready Flag],"Ready")</f>
        <v>6</v>
      </c>
    </row>
    <row r="12" spans="1:11" ht="15" thickBot="1" x14ac:dyDescent="0.4">
      <c r="A12" s="22" t="s">
        <v>343</v>
      </c>
      <c r="B12" s="23">
        <f>COUNTIF(tblEnrollment[ERA Ready Flag],"Ready")</f>
        <v>4</v>
      </c>
    </row>
    <row r="13" spans="1:11" x14ac:dyDescent="0.35">
      <c r="A13" s="22" t="s">
        <v>284</v>
      </c>
      <c r="B13" s="23">
        <f>COUNTIF(tblEnrollment[NPI Match Status],"NPI Mismatch")</f>
        <v>5</v>
      </c>
      <c r="D13" s="35" t="s">
        <v>373</v>
      </c>
      <c r="E13" s="36"/>
    </row>
    <row r="14" spans="1:11" x14ac:dyDescent="0.35">
      <c r="A14" s="22" t="s">
        <v>339</v>
      </c>
      <c r="B14" s="23">
        <f>COUNTIF(tblEnrollment[Provider Identifier Issue Flag],"Yes")</f>
        <v>7</v>
      </c>
      <c r="D14" s="22" t="s">
        <v>374</v>
      </c>
      <c r="E14" s="23">
        <f>COUNTIF(tblEnrollment[Claims Ready Flag],"Ready")</f>
        <v>6</v>
      </c>
    </row>
    <row r="15" spans="1:11" ht="15" thickBot="1" x14ac:dyDescent="0.4">
      <c r="A15" s="22" t="s">
        <v>340</v>
      </c>
      <c r="B15" s="23">
        <f>COUNTIF(tblEnrollment[Payer Routing issue Flag],"Yes")</f>
        <v>2</v>
      </c>
      <c r="D15" s="24" t="s">
        <v>375</v>
      </c>
      <c r="E15" s="25">
        <f>COUNTIF(tblEnrollment[ERA Ready Flag],"Ready")</f>
        <v>4</v>
      </c>
    </row>
    <row r="16" spans="1:11" x14ac:dyDescent="0.35">
      <c r="A16" s="22" t="s">
        <v>341</v>
      </c>
      <c r="B16" s="23">
        <f>COUNTIF(tblEnrollment[Clearinghouse gap Flag],"Yes")</f>
        <v>6</v>
      </c>
    </row>
    <row r="17" spans="1:2" ht="15" thickBot="1" x14ac:dyDescent="0.4">
      <c r="A17" s="24" t="s">
        <v>342</v>
      </c>
      <c r="B17" s="25">
        <f>COUNTIF(tblEnrollment[Government Payer Issue Flag],"Yes")</f>
        <v>4</v>
      </c>
    </row>
    <row r="18" spans="1:2" ht="15" thickBot="1" x14ac:dyDescent="0.4"/>
    <row r="19" spans="1:2" x14ac:dyDescent="0.35">
      <c r="A19" s="20" t="s">
        <v>19</v>
      </c>
      <c r="B19" s="21" t="s">
        <v>344</v>
      </c>
    </row>
    <row r="20" spans="1:2" x14ac:dyDescent="0.35">
      <c r="A20" s="22" t="s">
        <v>86</v>
      </c>
      <c r="B20" s="23">
        <f>COUNTIF(tblEnrollment[Current Status],summary_metrics!A20)</f>
        <v>7</v>
      </c>
    </row>
    <row r="21" spans="1:2" x14ac:dyDescent="0.35">
      <c r="A21" s="22" t="s">
        <v>95</v>
      </c>
      <c r="B21" s="23">
        <f>COUNTIF(tblEnrollment[Current Status],summary_metrics!A21)</f>
        <v>9</v>
      </c>
    </row>
    <row r="22" spans="1:2" ht="15" thickBot="1" x14ac:dyDescent="0.4">
      <c r="A22" s="24" t="s">
        <v>222</v>
      </c>
      <c r="B22" s="25">
        <f>COUNTIF(tblEnrollment[Current Status],summary_metrics!A22)</f>
        <v>9</v>
      </c>
    </row>
    <row r="23" spans="1:2" ht="15" thickBot="1" x14ac:dyDescent="0.4"/>
    <row r="24" spans="1:2" x14ac:dyDescent="0.35">
      <c r="A24" s="20" t="s">
        <v>345</v>
      </c>
      <c r="B24" s="21" t="s">
        <v>344</v>
      </c>
    </row>
    <row r="25" spans="1:2" x14ac:dyDescent="0.35">
      <c r="A25" s="22" t="s">
        <v>216</v>
      </c>
      <c r="B25" s="23">
        <f>COUNTIF(tblEnrollment[[Enrollment Type ]],summary_metrics!A25)</f>
        <v>5</v>
      </c>
    </row>
    <row r="26" spans="1:2" x14ac:dyDescent="0.35">
      <c r="A26" s="22" t="s">
        <v>82</v>
      </c>
      <c r="B26" s="23">
        <f>COUNTIF(tblEnrollment[[Enrollment Type ]],summary_metrics!A26)</f>
        <v>14</v>
      </c>
    </row>
    <row r="27" spans="1:2" ht="15" thickBot="1" x14ac:dyDescent="0.4">
      <c r="A27" s="24" t="s">
        <v>94</v>
      </c>
      <c r="B27" s="25">
        <f>COUNTIF(tblEnrollment[[Enrollment Type ]],summary_metrics!A27)</f>
        <v>6</v>
      </c>
    </row>
    <row r="28" spans="1:2" ht="15" thickBot="1" x14ac:dyDescent="0.4"/>
    <row r="29" spans="1:2" x14ac:dyDescent="0.35">
      <c r="A29" s="26" t="s">
        <v>346</v>
      </c>
      <c r="B29" s="27" t="s">
        <v>344</v>
      </c>
    </row>
    <row r="30" spans="1:2" x14ac:dyDescent="0.35">
      <c r="A30" s="22" t="s">
        <v>87</v>
      </c>
      <c r="B30" s="23">
        <f>COUNTIF(tblEnrollment[Blocked reason],summary_metrics!A30)</f>
        <v>7</v>
      </c>
    </row>
    <row r="31" spans="1:2" x14ac:dyDescent="0.35">
      <c r="A31" s="22" t="s">
        <v>223</v>
      </c>
      <c r="B31" s="23">
        <f>COUNTIF(tblEnrollment[Blocked reason],summary_metrics!A31)</f>
        <v>3</v>
      </c>
    </row>
    <row r="32" spans="1:2" x14ac:dyDescent="0.35">
      <c r="A32" s="22" t="s">
        <v>224</v>
      </c>
      <c r="B32" s="23">
        <f>COUNTIF(tblEnrollment[Blocked reason],summary_metrics!A32)</f>
        <v>1</v>
      </c>
    </row>
    <row r="33" spans="1:2" x14ac:dyDescent="0.35">
      <c r="A33" s="22" t="s">
        <v>225</v>
      </c>
      <c r="B33" s="23">
        <f>COUNTIF(tblEnrollment[Blocked reason],summary_metrics!A33)</f>
        <v>3</v>
      </c>
    </row>
    <row r="34" spans="1:2" x14ac:dyDescent="0.35">
      <c r="A34" s="22" t="s">
        <v>226</v>
      </c>
      <c r="B34" s="23">
        <f>COUNTIF(tblEnrollment[Blocked reason],summary_metrics!A34)</f>
        <v>2</v>
      </c>
    </row>
    <row r="35" spans="1:2" x14ac:dyDescent="0.35">
      <c r="A35" s="22" t="s">
        <v>227</v>
      </c>
      <c r="B35" s="23">
        <f>COUNTIF(tblEnrollment[Blocked reason],summary_metrics!A35)</f>
        <v>2</v>
      </c>
    </row>
    <row r="36" spans="1:2" x14ac:dyDescent="0.35">
      <c r="A36" s="22" t="s">
        <v>228</v>
      </c>
      <c r="B36" s="23">
        <f>COUNTIF(tblEnrollment[Blocked reason],summary_metrics!A36)</f>
        <v>1</v>
      </c>
    </row>
    <row r="37" spans="1:2" x14ac:dyDescent="0.35">
      <c r="A37" s="22" t="s">
        <v>229</v>
      </c>
      <c r="B37" s="23">
        <f>COUNTIF(tblEnrollment[Blocked reason],summary_metrics!A37)</f>
        <v>2</v>
      </c>
    </row>
    <row r="38" spans="1:2" x14ac:dyDescent="0.35">
      <c r="A38" s="22" t="s">
        <v>230</v>
      </c>
      <c r="B38" s="23">
        <f>COUNTIF(tblEnrollment[Blocked reason],summary_metrics!A38)</f>
        <v>1</v>
      </c>
    </row>
    <row r="39" spans="1:2" x14ac:dyDescent="0.35">
      <c r="A39" s="22" t="s">
        <v>231</v>
      </c>
      <c r="B39" s="23">
        <f>COUNTIF(tblEnrollment[Blocked reason],summary_metrics!A39)</f>
        <v>1</v>
      </c>
    </row>
    <row r="40" spans="1:2" x14ac:dyDescent="0.35">
      <c r="A40" s="22" t="s">
        <v>232</v>
      </c>
      <c r="B40" s="23">
        <f>COUNTIF(tblEnrollment[Blocked reason],summary_metrics!A40)</f>
        <v>1</v>
      </c>
    </row>
    <row r="41" spans="1:2" ht="15" thickBot="1" x14ac:dyDescent="0.4">
      <c r="A41" s="24" t="s">
        <v>233</v>
      </c>
      <c r="B41" s="25">
        <f>COUNTIF(tblEnrollment[Blocked reason],summary_metrics!A41)</f>
        <v>1</v>
      </c>
    </row>
    <row r="42" spans="1:2" ht="15" thickBot="1" x14ac:dyDescent="0.4"/>
    <row r="43" spans="1:2" x14ac:dyDescent="0.35">
      <c r="A43" s="20" t="s">
        <v>347</v>
      </c>
      <c r="B43" s="21" t="s">
        <v>344</v>
      </c>
    </row>
    <row r="44" spans="1:2" x14ac:dyDescent="0.35">
      <c r="A44" s="22" t="s">
        <v>348</v>
      </c>
      <c r="B44" s="23">
        <f>B14</f>
        <v>7</v>
      </c>
    </row>
    <row r="45" spans="1:2" x14ac:dyDescent="0.35">
      <c r="A45" s="22" t="s">
        <v>349</v>
      </c>
      <c r="B45" s="23">
        <f>B15</f>
        <v>2</v>
      </c>
    </row>
    <row r="46" spans="1:2" x14ac:dyDescent="0.35">
      <c r="A46" s="22" t="s">
        <v>350</v>
      </c>
      <c r="B46" s="23">
        <f>B16</f>
        <v>6</v>
      </c>
    </row>
    <row r="47" spans="1:2" x14ac:dyDescent="0.35">
      <c r="A47" s="22" t="s">
        <v>351</v>
      </c>
      <c r="B47" s="23">
        <f>B17</f>
        <v>4</v>
      </c>
    </row>
    <row r="48" spans="1:2" x14ac:dyDescent="0.35">
      <c r="A48" s="22" t="s">
        <v>352</v>
      </c>
      <c r="B48" s="23">
        <f>COUNTIF(tblEnrollment[Blocked reason],"Credentialing not completed")</f>
        <v>2</v>
      </c>
    </row>
    <row r="49" spans="1:2" x14ac:dyDescent="0.35">
      <c r="A49" s="22" t="s">
        <v>353</v>
      </c>
      <c r="B49" s="23">
        <f>COUNTIF(tblEnrollment[Blocked reason],"Missing payer approval")</f>
        <v>1</v>
      </c>
    </row>
    <row r="50" spans="1:2" ht="15" thickBot="1" x14ac:dyDescent="0.4">
      <c r="A50" s="24" t="s">
        <v>354</v>
      </c>
      <c r="B50" s="25">
        <f>COUNTIF(tblEnrollment[Blocked reason],"ERA Setup not completed")</f>
        <v>1</v>
      </c>
    </row>
  </sheetData>
  <mergeCells count="2">
    <mergeCell ref="A1:K1"/>
    <mergeCell ref="D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zoomScale="54" zoomScaleNormal="54" workbookViewId="0">
      <selection activeCell="H51" sqref="H51"/>
    </sheetView>
  </sheetViews>
  <sheetFormatPr defaultRowHeight="14.5" x14ac:dyDescent="0.35"/>
  <cols>
    <col min="1" max="1" width="22" customWidth="1"/>
    <col min="2" max="2" width="20.08984375" customWidth="1"/>
    <col min="3" max="3" width="10.1796875" customWidth="1"/>
    <col min="4" max="4" width="13.90625" customWidth="1"/>
    <col min="5" max="5" width="21.26953125" bestFit="1" customWidth="1"/>
    <col min="6" max="6" width="13.90625" customWidth="1"/>
    <col min="7" max="7" width="38.81640625" customWidth="1"/>
    <col min="8" max="8" width="22" customWidth="1"/>
    <col min="10" max="10" width="22" customWidth="1"/>
    <col min="11" max="11" width="21.26953125" customWidth="1"/>
    <col min="12" max="12" width="10.1796875" customWidth="1"/>
    <col min="13" max="13" width="7.81640625" customWidth="1"/>
    <col min="14" max="14" width="13.90625" bestFit="1" customWidth="1"/>
  </cols>
  <sheetData>
    <row r="1" spans="1:14" x14ac:dyDescent="0.35">
      <c r="A1" s="31" t="s">
        <v>357</v>
      </c>
      <c r="B1" s="31"/>
      <c r="D1" s="31" t="s">
        <v>358</v>
      </c>
      <c r="E1" s="31"/>
      <c r="F1" s="31"/>
      <c r="G1" s="31"/>
      <c r="H1" s="31"/>
      <c r="J1" s="31" t="s">
        <v>364</v>
      </c>
      <c r="K1" s="31"/>
      <c r="L1" s="31"/>
      <c r="M1" s="31"/>
      <c r="N1" s="31"/>
    </row>
    <row r="2" spans="1:14" x14ac:dyDescent="0.35">
      <c r="A2" s="32" t="s">
        <v>19</v>
      </c>
      <c r="B2" t="s">
        <v>326</v>
      </c>
      <c r="D2" s="32" t="s">
        <v>326</v>
      </c>
      <c r="E2" s="32" t="s">
        <v>328</v>
      </c>
      <c r="J2" s="32" t="s">
        <v>326</v>
      </c>
      <c r="K2" s="32" t="s">
        <v>328</v>
      </c>
    </row>
    <row r="3" spans="1:14" x14ac:dyDescent="0.35">
      <c r="A3" s="33" t="s">
        <v>222</v>
      </c>
      <c r="B3" s="34">
        <v>9</v>
      </c>
      <c r="D3" s="32" t="s">
        <v>325</v>
      </c>
      <c r="E3" t="s">
        <v>222</v>
      </c>
      <c r="F3" t="s">
        <v>327</v>
      </c>
      <c r="J3" s="32" t="s">
        <v>325</v>
      </c>
      <c r="K3" t="s">
        <v>222</v>
      </c>
      <c r="L3" t="s">
        <v>95</v>
      </c>
      <c r="M3" t="s">
        <v>86</v>
      </c>
      <c r="N3" t="s">
        <v>327</v>
      </c>
    </row>
    <row r="4" spans="1:14" x14ac:dyDescent="0.35">
      <c r="A4" s="33" t="s">
        <v>95</v>
      </c>
      <c r="B4" s="34">
        <v>9</v>
      </c>
      <c r="D4" s="33" t="s">
        <v>90</v>
      </c>
      <c r="E4" s="34">
        <v>1</v>
      </c>
      <c r="F4" s="34">
        <v>1</v>
      </c>
      <c r="J4" s="33" t="s">
        <v>94</v>
      </c>
      <c r="K4" s="34">
        <v>2</v>
      </c>
      <c r="L4" s="34">
        <v>1</v>
      </c>
      <c r="M4" s="34">
        <v>3</v>
      </c>
      <c r="N4" s="34">
        <v>6</v>
      </c>
    </row>
    <row r="5" spans="1:14" x14ac:dyDescent="0.35">
      <c r="A5" s="33" t="s">
        <v>86</v>
      </c>
      <c r="B5" s="34">
        <v>7</v>
      </c>
      <c r="D5" s="33" t="s">
        <v>196</v>
      </c>
      <c r="E5" s="34">
        <v>1</v>
      </c>
      <c r="F5" s="34">
        <v>1</v>
      </c>
      <c r="J5" s="33" t="s">
        <v>82</v>
      </c>
      <c r="K5" s="34">
        <v>6</v>
      </c>
      <c r="L5" s="34">
        <v>5</v>
      </c>
      <c r="M5" s="34">
        <v>3</v>
      </c>
      <c r="N5" s="34">
        <v>14</v>
      </c>
    </row>
    <row r="6" spans="1:14" x14ac:dyDescent="0.35">
      <c r="A6" s="33" t="s">
        <v>327</v>
      </c>
      <c r="B6" s="34">
        <v>25</v>
      </c>
      <c r="D6" s="33" t="s">
        <v>197</v>
      </c>
      <c r="E6" s="34">
        <v>1</v>
      </c>
      <c r="F6" s="34">
        <v>1</v>
      </c>
      <c r="J6" s="33" t="s">
        <v>216</v>
      </c>
      <c r="K6" s="34">
        <v>1</v>
      </c>
      <c r="L6" s="34">
        <v>3</v>
      </c>
      <c r="M6" s="34">
        <v>1</v>
      </c>
      <c r="N6" s="34">
        <v>5</v>
      </c>
    </row>
    <row r="7" spans="1:14" x14ac:dyDescent="0.35">
      <c r="A7" s="33"/>
      <c r="B7" s="34"/>
      <c r="D7" s="33" t="s">
        <v>190</v>
      </c>
      <c r="E7" s="34">
        <v>2</v>
      </c>
      <c r="F7" s="34">
        <v>2</v>
      </c>
      <c r="J7" s="33" t="s">
        <v>327</v>
      </c>
      <c r="K7" s="34">
        <v>9</v>
      </c>
      <c r="L7" s="34">
        <v>9</v>
      </c>
      <c r="M7" s="34">
        <v>7</v>
      </c>
      <c r="N7" s="34">
        <v>25</v>
      </c>
    </row>
    <row r="8" spans="1:14" x14ac:dyDescent="0.35">
      <c r="A8" s="31" t="s">
        <v>356</v>
      </c>
      <c r="B8" s="31"/>
      <c r="D8" s="33" t="s">
        <v>78</v>
      </c>
      <c r="E8" s="34">
        <v>2</v>
      </c>
      <c r="F8" s="34">
        <v>2</v>
      </c>
    </row>
    <row r="9" spans="1:14" x14ac:dyDescent="0.35">
      <c r="A9" s="32" t="s">
        <v>325</v>
      </c>
      <c r="B9" t="s">
        <v>326</v>
      </c>
      <c r="D9" s="33" t="s">
        <v>194</v>
      </c>
      <c r="E9" s="34">
        <v>2</v>
      </c>
      <c r="F9" s="34">
        <v>2</v>
      </c>
      <c r="J9" s="31" t="s">
        <v>365</v>
      </c>
      <c r="K9" s="31"/>
    </row>
    <row r="10" spans="1:14" x14ac:dyDescent="0.35">
      <c r="A10" s="33" t="s">
        <v>87</v>
      </c>
      <c r="B10" s="34">
        <v>7</v>
      </c>
      <c r="D10" s="33" t="s">
        <v>327</v>
      </c>
      <c r="E10" s="34">
        <v>9</v>
      </c>
      <c r="F10" s="34">
        <v>9</v>
      </c>
      <c r="J10" s="32" t="s">
        <v>366</v>
      </c>
      <c r="K10" t="s">
        <v>344</v>
      </c>
    </row>
    <row r="11" spans="1:14" x14ac:dyDescent="0.35">
      <c r="A11" s="33" t="s">
        <v>225</v>
      </c>
      <c r="B11" s="34">
        <v>3</v>
      </c>
      <c r="J11" s="33" t="s">
        <v>86</v>
      </c>
      <c r="K11" s="34">
        <v>6</v>
      </c>
    </row>
    <row r="12" spans="1:14" x14ac:dyDescent="0.35">
      <c r="A12" s="33" t="s">
        <v>223</v>
      </c>
      <c r="B12" s="34">
        <v>3</v>
      </c>
      <c r="J12" s="33" t="s">
        <v>327</v>
      </c>
      <c r="K12" s="34">
        <v>6</v>
      </c>
    </row>
    <row r="13" spans="1:14" x14ac:dyDescent="0.35">
      <c r="A13" s="33" t="s">
        <v>227</v>
      </c>
      <c r="B13" s="34">
        <v>2</v>
      </c>
      <c r="D13" s="31" t="s">
        <v>359</v>
      </c>
      <c r="E13" s="31"/>
      <c r="F13" s="31"/>
      <c r="G13" s="31"/>
      <c r="H13" s="31"/>
    </row>
    <row r="14" spans="1:14" x14ac:dyDescent="0.35">
      <c r="A14" s="33" t="s">
        <v>229</v>
      </c>
      <c r="B14" s="34">
        <v>2</v>
      </c>
      <c r="D14" s="32" t="s">
        <v>326</v>
      </c>
      <c r="E14" s="32" t="s">
        <v>328</v>
      </c>
    </row>
    <row r="15" spans="1:14" x14ac:dyDescent="0.35">
      <c r="A15" s="33" t="s">
        <v>226</v>
      </c>
      <c r="B15" s="34">
        <v>2</v>
      </c>
      <c r="D15" s="32" t="s">
        <v>325</v>
      </c>
      <c r="E15" t="s">
        <v>355</v>
      </c>
      <c r="F15" t="s">
        <v>327</v>
      </c>
      <c r="J15" s="32" t="s">
        <v>367</v>
      </c>
      <c r="K15" t="s">
        <v>344</v>
      </c>
    </row>
    <row r="16" spans="1:14" x14ac:dyDescent="0.35">
      <c r="A16" s="33" t="s">
        <v>228</v>
      </c>
      <c r="B16" s="34">
        <v>1</v>
      </c>
      <c r="D16" s="33" t="s">
        <v>191</v>
      </c>
      <c r="E16" s="34">
        <v>1</v>
      </c>
      <c r="F16" s="34">
        <v>1</v>
      </c>
      <c r="J16" s="33" t="s">
        <v>86</v>
      </c>
      <c r="K16" s="34">
        <v>4</v>
      </c>
    </row>
    <row r="17" spans="1:11" x14ac:dyDescent="0.35">
      <c r="A17" s="33" t="s">
        <v>230</v>
      </c>
      <c r="B17" s="34">
        <v>1</v>
      </c>
      <c r="D17" s="33" t="s">
        <v>90</v>
      </c>
      <c r="E17" s="34">
        <v>2</v>
      </c>
      <c r="F17" s="34">
        <v>2</v>
      </c>
      <c r="J17" s="33" t="s">
        <v>327</v>
      </c>
      <c r="K17" s="34">
        <v>4</v>
      </c>
    </row>
    <row r="18" spans="1:11" x14ac:dyDescent="0.35">
      <c r="A18" s="33" t="s">
        <v>231</v>
      </c>
      <c r="B18" s="34">
        <v>1</v>
      </c>
      <c r="D18" s="33" t="s">
        <v>196</v>
      </c>
      <c r="E18" s="34">
        <v>2</v>
      </c>
      <c r="F18" s="34">
        <v>2</v>
      </c>
    </row>
    <row r="19" spans="1:11" x14ac:dyDescent="0.35">
      <c r="A19" s="33" t="s">
        <v>232</v>
      </c>
      <c r="B19" s="34">
        <v>1</v>
      </c>
      <c r="D19" s="33" t="s">
        <v>197</v>
      </c>
      <c r="E19" s="34">
        <v>2</v>
      </c>
      <c r="F19" s="34">
        <v>2</v>
      </c>
    </row>
    <row r="20" spans="1:11" x14ac:dyDescent="0.35">
      <c r="A20" s="33" t="s">
        <v>224</v>
      </c>
      <c r="B20" s="34">
        <v>1</v>
      </c>
      <c r="D20" s="33" t="s">
        <v>190</v>
      </c>
      <c r="E20" s="34">
        <v>2</v>
      </c>
      <c r="F20" s="34">
        <v>2</v>
      </c>
    </row>
    <row r="21" spans="1:11" x14ac:dyDescent="0.35">
      <c r="A21" s="33" t="s">
        <v>233</v>
      </c>
      <c r="B21" s="34">
        <v>1</v>
      </c>
      <c r="D21" s="33" t="s">
        <v>78</v>
      </c>
      <c r="E21" s="34">
        <v>2</v>
      </c>
      <c r="F21" s="34">
        <v>2</v>
      </c>
    </row>
    <row r="22" spans="1:11" x14ac:dyDescent="0.35">
      <c r="A22" s="33" t="s">
        <v>327</v>
      </c>
      <c r="B22" s="34">
        <v>25</v>
      </c>
      <c r="D22" s="33" t="s">
        <v>194</v>
      </c>
      <c r="E22" s="34">
        <v>2</v>
      </c>
      <c r="F22" s="34">
        <v>2</v>
      </c>
    </row>
    <row r="23" spans="1:11" x14ac:dyDescent="0.35">
      <c r="D23" s="33" t="s">
        <v>327</v>
      </c>
      <c r="E23" s="34">
        <v>13</v>
      </c>
      <c r="F23" s="34">
        <v>13</v>
      </c>
    </row>
    <row r="24" spans="1:11" x14ac:dyDescent="0.35">
      <c r="A24" s="32" t="s">
        <v>363</v>
      </c>
      <c r="B24" t="s">
        <v>85</v>
      </c>
      <c r="D24" s="33"/>
      <c r="E24" s="34"/>
      <c r="F24" s="34"/>
      <c r="G24" s="32" t="s">
        <v>363</v>
      </c>
      <c r="H24" t="s">
        <v>85</v>
      </c>
    </row>
    <row r="25" spans="1:11" x14ac:dyDescent="0.35">
      <c r="A25" s="31" t="s">
        <v>360</v>
      </c>
      <c r="B25" s="31"/>
      <c r="C25" s="31"/>
      <c r="D25" s="31"/>
      <c r="E25" s="31"/>
      <c r="G25" t="s">
        <v>371</v>
      </c>
    </row>
    <row r="26" spans="1:11" x14ac:dyDescent="0.35">
      <c r="A26" s="32" t="s">
        <v>326</v>
      </c>
      <c r="B26" s="32" t="s">
        <v>362</v>
      </c>
      <c r="G26" s="32" t="s">
        <v>325</v>
      </c>
      <c r="H26" t="s">
        <v>326</v>
      </c>
    </row>
    <row r="27" spans="1:11" x14ac:dyDescent="0.35">
      <c r="A27" s="32" t="s">
        <v>361</v>
      </c>
      <c r="B27" t="s">
        <v>222</v>
      </c>
      <c r="C27" t="s">
        <v>95</v>
      </c>
      <c r="D27" t="s">
        <v>327</v>
      </c>
      <c r="G27" s="33" t="s">
        <v>225</v>
      </c>
      <c r="H27" s="34">
        <v>3</v>
      </c>
    </row>
    <row r="28" spans="1:11" x14ac:dyDescent="0.35">
      <c r="A28" s="33" t="s">
        <v>235</v>
      </c>
      <c r="B28" s="34">
        <v>4</v>
      </c>
      <c r="C28" s="34">
        <v>2</v>
      </c>
      <c r="D28" s="34">
        <v>6</v>
      </c>
      <c r="G28" s="33" t="s">
        <v>223</v>
      </c>
      <c r="H28" s="34">
        <v>3</v>
      </c>
    </row>
    <row r="29" spans="1:11" x14ac:dyDescent="0.35">
      <c r="A29" s="33" t="s">
        <v>234</v>
      </c>
      <c r="B29" s="34">
        <v>2</v>
      </c>
      <c r="C29" s="34">
        <v>3</v>
      </c>
      <c r="D29" s="34">
        <v>5</v>
      </c>
      <c r="G29" s="33" t="s">
        <v>227</v>
      </c>
      <c r="H29" s="34">
        <v>2</v>
      </c>
    </row>
    <row r="30" spans="1:11" x14ac:dyDescent="0.35">
      <c r="A30" s="33" t="s">
        <v>88</v>
      </c>
      <c r="B30" s="34">
        <v>3</v>
      </c>
      <c r="C30" s="34">
        <v>4</v>
      </c>
      <c r="D30" s="34">
        <v>7</v>
      </c>
      <c r="G30" s="33" t="s">
        <v>229</v>
      </c>
      <c r="H30" s="34">
        <v>2</v>
      </c>
    </row>
    <row r="31" spans="1:11" x14ac:dyDescent="0.35">
      <c r="A31" s="33" t="s">
        <v>327</v>
      </c>
      <c r="B31" s="34">
        <v>9</v>
      </c>
      <c r="C31" s="34">
        <v>9</v>
      </c>
      <c r="D31" s="34">
        <v>18</v>
      </c>
      <c r="G31" s="33" t="s">
        <v>226</v>
      </c>
      <c r="H31" s="34">
        <v>2</v>
      </c>
    </row>
    <row r="32" spans="1:11" x14ac:dyDescent="0.35">
      <c r="G32" s="33" t="s">
        <v>230</v>
      </c>
      <c r="H32" s="34">
        <v>1</v>
      </c>
    </row>
    <row r="33" spans="7:8" x14ac:dyDescent="0.35">
      <c r="G33" s="33" t="s">
        <v>232</v>
      </c>
      <c r="H33" s="34">
        <v>1</v>
      </c>
    </row>
    <row r="34" spans="7:8" x14ac:dyDescent="0.35">
      <c r="G34" s="33" t="s">
        <v>228</v>
      </c>
      <c r="H34" s="34">
        <v>1</v>
      </c>
    </row>
    <row r="35" spans="7:8" x14ac:dyDescent="0.35">
      <c r="G35" s="33" t="s">
        <v>231</v>
      </c>
      <c r="H35" s="34">
        <v>1</v>
      </c>
    </row>
    <row r="36" spans="7:8" x14ac:dyDescent="0.35">
      <c r="G36" s="33" t="s">
        <v>233</v>
      </c>
      <c r="H36" s="34">
        <v>1</v>
      </c>
    </row>
    <row r="37" spans="7:8" x14ac:dyDescent="0.35">
      <c r="G37" s="33" t="s">
        <v>224</v>
      </c>
      <c r="H37" s="34">
        <v>1</v>
      </c>
    </row>
    <row r="38" spans="7:8" x14ac:dyDescent="0.35">
      <c r="G38" s="33" t="s">
        <v>327</v>
      </c>
      <c r="H38" s="34">
        <v>18</v>
      </c>
    </row>
  </sheetData>
  <mergeCells count="7">
    <mergeCell ref="A8:B8"/>
    <mergeCell ref="A1:B1"/>
    <mergeCell ref="D1:H1"/>
    <mergeCell ref="D13:H13"/>
    <mergeCell ref="A25:E25"/>
    <mergeCell ref="J1:N1"/>
    <mergeCell ref="J9:K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
  <sheetViews>
    <sheetView showGridLines="0" zoomScale="69" zoomScaleNormal="69" workbookViewId="0">
      <selection activeCell="AA26" sqref="AA26"/>
    </sheetView>
  </sheetViews>
  <sheetFormatPr defaultColWidth="8.81640625" defaultRowHeight="14.5" x14ac:dyDescent="0.35"/>
  <sheetData>
    <row r="1" spans="1:14" x14ac:dyDescent="0.35">
      <c r="A1" s="59" t="s">
        <v>368</v>
      </c>
      <c r="B1" s="60"/>
      <c r="C1" s="60"/>
      <c r="D1" s="60"/>
      <c r="E1" s="60"/>
      <c r="F1" s="60"/>
      <c r="G1" s="60"/>
      <c r="H1" s="60"/>
      <c r="I1" s="60"/>
      <c r="J1" s="60"/>
      <c r="K1" s="60"/>
      <c r="L1" s="60"/>
      <c r="M1" s="60"/>
      <c r="N1" s="61"/>
    </row>
    <row r="2" spans="1:14" x14ac:dyDescent="0.35">
      <c r="A2" s="62"/>
      <c r="B2" s="63"/>
      <c r="C2" s="63"/>
      <c r="D2" s="63"/>
      <c r="E2" s="63"/>
      <c r="F2" s="63"/>
      <c r="G2" s="63"/>
      <c r="H2" s="63"/>
      <c r="I2" s="63"/>
      <c r="J2" s="63"/>
      <c r="K2" s="63"/>
      <c r="L2" s="63"/>
      <c r="M2" s="63"/>
      <c r="N2" s="64"/>
    </row>
    <row r="3" spans="1:14" ht="17" customHeight="1" x14ac:dyDescent="0.35">
      <c r="A3" s="65" t="s">
        <v>370</v>
      </c>
      <c r="B3" s="66"/>
      <c r="C3" s="66"/>
      <c r="D3" s="66"/>
      <c r="E3" s="66"/>
      <c r="F3" s="66"/>
      <c r="G3" s="66"/>
      <c r="H3" s="66"/>
      <c r="I3" s="66"/>
      <c r="J3" s="66"/>
      <c r="K3" s="66"/>
      <c r="L3" s="66"/>
      <c r="M3" s="66"/>
      <c r="N3" s="67"/>
    </row>
    <row r="4" spans="1:14" ht="15" thickBot="1" x14ac:dyDescent="0.4">
      <c r="A4" s="68" t="s">
        <v>369</v>
      </c>
      <c r="B4" s="69"/>
      <c r="C4" s="69"/>
      <c r="D4" s="69"/>
      <c r="E4" s="69"/>
      <c r="F4" s="69"/>
      <c r="G4" s="69"/>
      <c r="H4" s="69"/>
      <c r="I4" s="69"/>
      <c r="J4" s="69"/>
      <c r="K4" s="69"/>
      <c r="L4" s="69"/>
      <c r="M4" s="69"/>
      <c r="N4" s="70"/>
    </row>
    <row r="5" spans="1:14" ht="15" thickBot="1" x14ac:dyDescent="0.4">
      <c r="A5" s="55"/>
      <c r="B5" s="55"/>
      <c r="C5" s="55"/>
      <c r="D5" s="55"/>
      <c r="E5" s="55"/>
      <c r="F5" s="55"/>
      <c r="G5" s="55"/>
      <c r="H5" s="55"/>
      <c r="I5" s="55"/>
      <c r="J5" s="55"/>
      <c r="K5" s="55"/>
      <c r="L5" s="55"/>
      <c r="M5" s="55"/>
      <c r="N5" s="55"/>
    </row>
    <row r="6" spans="1:14" x14ac:dyDescent="0.35">
      <c r="A6" s="49" t="s">
        <v>306</v>
      </c>
      <c r="B6" s="50"/>
      <c r="C6" s="50"/>
      <c r="D6" s="50"/>
      <c r="E6" s="49" t="s">
        <v>86</v>
      </c>
      <c r="F6" s="50"/>
      <c r="G6" s="50"/>
      <c r="H6" s="50"/>
      <c r="I6" s="49" t="s">
        <v>95</v>
      </c>
      <c r="J6" s="50"/>
      <c r="K6" s="50"/>
      <c r="L6" s="49" t="s">
        <v>222</v>
      </c>
      <c r="M6" s="50"/>
      <c r="N6" s="51"/>
    </row>
    <row r="7" spans="1:14" x14ac:dyDescent="0.35">
      <c r="A7" s="52"/>
      <c r="B7" s="53"/>
      <c r="C7" s="53"/>
      <c r="D7" s="53"/>
      <c r="E7" s="52"/>
      <c r="F7" s="53"/>
      <c r="G7" s="53"/>
      <c r="H7" s="53"/>
      <c r="I7" s="52"/>
      <c r="J7" s="53"/>
      <c r="K7" s="53"/>
      <c r="L7" s="52"/>
      <c r="M7" s="53"/>
      <c r="N7" s="54"/>
    </row>
    <row r="8" spans="1:14" x14ac:dyDescent="0.35">
      <c r="A8" s="52"/>
      <c r="B8" s="53"/>
      <c r="C8" s="53"/>
      <c r="D8" s="53"/>
      <c r="E8" s="52"/>
      <c r="F8" s="53"/>
      <c r="G8" s="53"/>
      <c r="H8" s="53"/>
      <c r="I8" s="52"/>
      <c r="J8" s="53"/>
      <c r="K8" s="53"/>
      <c r="L8" s="52"/>
      <c r="M8" s="53"/>
      <c r="N8" s="54"/>
    </row>
    <row r="9" spans="1:14" x14ac:dyDescent="0.35">
      <c r="A9" s="43">
        <f>summary_metrics!B4</f>
        <v>25</v>
      </c>
      <c r="B9" s="44"/>
      <c r="C9" s="44"/>
      <c r="D9" s="44"/>
      <c r="E9" s="43">
        <f>summary_metrics!B5</f>
        <v>7</v>
      </c>
      <c r="F9" s="44"/>
      <c r="G9" s="44"/>
      <c r="H9" s="44"/>
      <c r="I9" s="43">
        <f>summary_metrics!B6</f>
        <v>9</v>
      </c>
      <c r="J9" s="44"/>
      <c r="K9" s="44"/>
      <c r="L9" s="43">
        <f>summary_metrics!B7</f>
        <v>9</v>
      </c>
      <c r="M9" s="44"/>
      <c r="N9" s="45"/>
    </row>
    <row r="10" spans="1:14" ht="15" thickBot="1" x14ac:dyDescent="0.4">
      <c r="A10" s="46"/>
      <c r="B10" s="47"/>
      <c r="C10" s="47"/>
      <c r="D10" s="47"/>
      <c r="E10" s="46"/>
      <c r="F10" s="47"/>
      <c r="G10" s="47"/>
      <c r="H10" s="47"/>
      <c r="I10" s="46"/>
      <c r="J10" s="47"/>
      <c r="K10" s="47"/>
      <c r="L10" s="46"/>
      <c r="M10" s="47"/>
      <c r="N10" s="48"/>
    </row>
    <row r="11" spans="1:14" ht="15" thickBot="1" x14ac:dyDescent="0.4"/>
    <row r="12" spans="1:14" ht="14.5" customHeight="1" x14ac:dyDescent="0.35">
      <c r="A12" s="49" t="s">
        <v>380</v>
      </c>
      <c r="B12" s="50"/>
      <c r="C12" s="50"/>
      <c r="D12" s="51"/>
      <c r="E12" s="49" t="s">
        <v>355</v>
      </c>
      <c r="F12" s="50"/>
      <c r="G12" s="50"/>
      <c r="H12" s="51"/>
      <c r="I12" s="49" t="s">
        <v>374</v>
      </c>
      <c r="J12" s="50"/>
      <c r="K12" s="51"/>
      <c r="L12" s="49" t="s">
        <v>372</v>
      </c>
      <c r="M12" s="50"/>
      <c r="N12" s="51"/>
    </row>
    <row r="13" spans="1:14" ht="14.5" customHeight="1" x14ac:dyDescent="0.35">
      <c r="A13" s="52"/>
      <c r="B13" s="53"/>
      <c r="C13" s="53"/>
      <c r="D13" s="54"/>
      <c r="E13" s="52"/>
      <c r="F13" s="53"/>
      <c r="G13" s="53"/>
      <c r="H13" s="54"/>
      <c r="I13" s="52"/>
      <c r="J13" s="53"/>
      <c r="K13" s="54"/>
      <c r="L13" s="52"/>
      <c r="M13" s="53"/>
      <c r="N13" s="54"/>
    </row>
    <row r="14" spans="1:14" ht="14.5" customHeight="1" x14ac:dyDescent="0.35">
      <c r="A14" s="52"/>
      <c r="B14" s="53"/>
      <c r="C14" s="53"/>
      <c r="D14" s="54"/>
      <c r="E14" s="52"/>
      <c r="F14" s="53"/>
      <c r="G14" s="53"/>
      <c r="H14" s="54"/>
      <c r="I14" s="52"/>
      <c r="J14" s="53"/>
      <c r="K14" s="54"/>
      <c r="L14" s="52"/>
      <c r="M14" s="53"/>
      <c r="N14" s="54"/>
    </row>
    <row r="15" spans="1:14" x14ac:dyDescent="0.35">
      <c r="A15" s="43">
        <f>summary_metrics!B8</f>
        <v>18</v>
      </c>
      <c r="B15" s="44"/>
      <c r="C15" s="44"/>
      <c r="D15" s="45"/>
      <c r="E15" s="43">
        <f>summary_metrics!B9</f>
        <v>13</v>
      </c>
      <c r="F15" s="44"/>
      <c r="G15" s="44"/>
      <c r="H15" s="45"/>
      <c r="I15" s="43">
        <f>summary_metrics!B11</f>
        <v>6</v>
      </c>
      <c r="J15" s="44"/>
      <c r="K15" s="45"/>
      <c r="L15" s="43">
        <f>summary_metrics!B12</f>
        <v>4</v>
      </c>
      <c r="M15" s="44"/>
      <c r="N15" s="45"/>
    </row>
    <row r="16" spans="1:14" ht="15" thickBot="1" x14ac:dyDescent="0.4">
      <c r="A16" s="46"/>
      <c r="B16" s="47"/>
      <c r="C16" s="47"/>
      <c r="D16" s="48"/>
      <c r="E16" s="46"/>
      <c r="F16" s="47"/>
      <c r="G16" s="47"/>
      <c r="H16" s="48"/>
      <c r="I16" s="46"/>
      <c r="J16" s="47"/>
      <c r="K16" s="48"/>
      <c r="L16" s="46"/>
      <c r="M16" s="47"/>
      <c r="N16" s="48"/>
    </row>
    <row r="17" spans="5:8" x14ac:dyDescent="0.35">
      <c r="E17" s="33"/>
      <c r="F17" s="33"/>
      <c r="G17" s="33"/>
      <c r="H17" s="34"/>
    </row>
    <row r="53" spans="1:14" ht="15" thickBot="1" x14ac:dyDescent="0.4"/>
    <row r="54" spans="1:14" x14ac:dyDescent="0.35">
      <c r="A54" s="56" t="s">
        <v>376</v>
      </c>
      <c r="B54" s="57"/>
      <c r="C54" s="57"/>
      <c r="D54" s="57"/>
      <c r="E54" s="57"/>
      <c r="F54" s="57"/>
      <c r="G54" s="57"/>
      <c r="H54" s="57"/>
      <c r="I54" s="57"/>
      <c r="J54" s="57"/>
      <c r="K54" s="57"/>
      <c r="L54" s="57"/>
      <c r="M54" s="57"/>
      <c r="N54" s="58"/>
    </row>
    <row r="55" spans="1:14" x14ac:dyDescent="0.35">
      <c r="A55" s="37" t="s">
        <v>381</v>
      </c>
      <c r="B55" s="38"/>
      <c r="C55" s="38"/>
      <c r="D55" s="38"/>
      <c r="E55" s="38"/>
      <c r="F55" s="38"/>
      <c r="G55" s="38"/>
      <c r="H55" s="38"/>
      <c r="I55" s="38"/>
      <c r="J55" s="38"/>
      <c r="K55" s="38"/>
      <c r="L55" s="38"/>
      <c r="M55" s="38"/>
      <c r="N55" s="39"/>
    </row>
    <row r="56" spans="1:14" x14ac:dyDescent="0.35">
      <c r="A56" s="37" t="s">
        <v>382</v>
      </c>
      <c r="B56" s="38"/>
      <c r="C56" s="38"/>
      <c r="D56" s="38"/>
      <c r="E56" s="38"/>
      <c r="F56" s="38"/>
      <c r="G56" s="38"/>
      <c r="H56" s="38"/>
      <c r="I56" s="38"/>
      <c r="J56" s="38"/>
      <c r="K56" s="38"/>
      <c r="L56" s="38"/>
      <c r="M56" s="38"/>
      <c r="N56" s="39"/>
    </row>
    <row r="57" spans="1:14" x14ac:dyDescent="0.35">
      <c r="A57" s="37" t="s">
        <v>377</v>
      </c>
      <c r="B57" s="38"/>
      <c r="C57" s="38"/>
      <c r="D57" s="38"/>
      <c r="E57" s="38"/>
      <c r="F57" s="38"/>
      <c r="G57" s="38"/>
      <c r="H57" s="38"/>
      <c r="I57" s="38"/>
      <c r="J57" s="38"/>
      <c r="K57" s="38"/>
      <c r="L57" s="38"/>
      <c r="M57" s="38"/>
      <c r="N57" s="39"/>
    </row>
    <row r="58" spans="1:14" x14ac:dyDescent="0.35">
      <c r="A58" s="37" t="s">
        <v>378</v>
      </c>
      <c r="B58" s="38"/>
      <c r="C58" s="38"/>
      <c r="D58" s="38"/>
      <c r="E58" s="38"/>
      <c r="F58" s="38"/>
      <c r="G58" s="38"/>
      <c r="H58" s="38"/>
      <c r="I58" s="38"/>
      <c r="J58" s="38"/>
      <c r="K58" s="38"/>
      <c r="L58" s="38"/>
      <c r="M58" s="38"/>
      <c r="N58" s="39"/>
    </row>
    <row r="59" spans="1:14" ht="15" thickBot="1" x14ac:dyDescent="0.4">
      <c r="A59" s="40" t="s">
        <v>379</v>
      </c>
      <c r="B59" s="41"/>
      <c r="C59" s="41"/>
      <c r="D59" s="41"/>
      <c r="E59" s="41"/>
      <c r="F59" s="41"/>
      <c r="G59" s="41"/>
      <c r="H59" s="41"/>
      <c r="I59" s="41"/>
      <c r="J59" s="41"/>
      <c r="K59" s="41"/>
      <c r="L59" s="41"/>
      <c r="M59" s="41"/>
      <c r="N59" s="42"/>
    </row>
  </sheetData>
  <mergeCells count="25">
    <mergeCell ref="A56:N56"/>
    <mergeCell ref="A57:N57"/>
    <mergeCell ref="A58:N58"/>
    <mergeCell ref="A59:N59"/>
    <mergeCell ref="A1:N2"/>
    <mergeCell ref="A3:N3"/>
    <mergeCell ref="A4:N4"/>
    <mergeCell ref="L12:N14"/>
    <mergeCell ref="L15:N16"/>
    <mergeCell ref="A54:N54"/>
    <mergeCell ref="A55:N55"/>
    <mergeCell ref="A15:D16"/>
    <mergeCell ref="E12:H14"/>
    <mergeCell ref="E15:H16"/>
    <mergeCell ref="I12:K14"/>
    <mergeCell ref="I15:K16"/>
    <mergeCell ref="E9:H10"/>
    <mergeCell ref="I6:K8"/>
    <mergeCell ref="I9:K10"/>
    <mergeCell ref="L6:N8"/>
    <mergeCell ref="L9:N10"/>
    <mergeCell ref="A12:D14"/>
    <mergeCell ref="A6:D8"/>
    <mergeCell ref="A9:D10"/>
    <mergeCell ref="E6:H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21" sqref="B21"/>
    </sheetView>
  </sheetViews>
  <sheetFormatPr defaultRowHeight="14.5" x14ac:dyDescent="0.35"/>
  <cols>
    <col min="1" max="1" width="28" bestFit="1" customWidth="1"/>
    <col min="2" max="2" width="60.54296875" bestFit="1" customWidth="1"/>
    <col min="3" max="3" width="43.6328125" bestFit="1" customWidth="1"/>
  </cols>
  <sheetData>
    <row r="1" spans="1:3" x14ac:dyDescent="0.35">
      <c r="A1" s="2" t="s">
        <v>260</v>
      </c>
      <c r="B1" s="2" t="s">
        <v>261</v>
      </c>
      <c r="C1" s="2" t="s">
        <v>262</v>
      </c>
    </row>
    <row r="2" spans="1:3" x14ac:dyDescent="0.35">
      <c r="A2" t="s">
        <v>263</v>
      </c>
      <c r="B2" t="s">
        <v>264</v>
      </c>
      <c r="C2" t="s">
        <v>265</v>
      </c>
    </row>
    <row r="3" spans="1:3" x14ac:dyDescent="0.35">
      <c r="A3" t="s">
        <v>266</v>
      </c>
      <c r="B3" t="s">
        <v>267</v>
      </c>
      <c r="C3" t="s">
        <v>268</v>
      </c>
    </row>
    <row r="4" spans="1:3" x14ac:dyDescent="0.35">
      <c r="A4" t="s">
        <v>269</v>
      </c>
      <c r="B4" t="s">
        <v>270</v>
      </c>
      <c r="C4" t="s">
        <v>271</v>
      </c>
    </row>
    <row r="5" spans="1:3" x14ac:dyDescent="0.35">
      <c r="A5" t="s">
        <v>272</v>
      </c>
      <c r="B5" t="s">
        <v>273</v>
      </c>
      <c r="C5" t="s">
        <v>274</v>
      </c>
    </row>
    <row r="6" spans="1:3" x14ac:dyDescent="0.35">
      <c r="A6" t="s">
        <v>275</v>
      </c>
      <c r="B6" t="s">
        <v>276</v>
      </c>
      <c r="C6" t="s">
        <v>277</v>
      </c>
    </row>
    <row r="7" spans="1:3" x14ac:dyDescent="0.35">
      <c r="A7" t="s">
        <v>278</v>
      </c>
      <c r="B7" t="s">
        <v>279</v>
      </c>
      <c r="C7" t="s">
        <v>280</v>
      </c>
    </row>
    <row r="8" spans="1:3" x14ac:dyDescent="0.35">
      <c r="A8" t="s">
        <v>281</v>
      </c>
      <c r="B8" t="s">
        <v>282</v>
      </c>
      <c r="C8" t="s">
        <v>283</v>
      </c>
    </row>
    <row r="9" spans="1:3" x14ac:dyDescent="0.35">
      <c r="A9" t="s">
        <v>284</v>
      </c>
      <c r="B9" t="s">
        <v>285</v>
      </c>
      <c r="C9" t="s">
        <v>286</v>
      </c>
    </row>
    <row r="10" spans="1:3" x14ac:dyDescent="0.35">
      <c r="A10" t="s">
        <v>287</v>
      </c>
      <c r="B10" t="s">
        <v>288</v>
      </c>
      <c r="C10" t="s">
        <v>289</v>
      </c>
    </row>
    <row r="11" spans="1:3" x14ac:dyDescent="0.35">
      <c r="A11" t="s">
        <v>290</v>
      </c>
      <c r="B11" t="s">
        <v>291</v>
      </c>
      <c r="C11" t="s">
        <v>292</v>
      </c>
    </row>
    <row r="12" spans="1:3" x14ac:dyDescent="0.35">
      <c r="A12" t="s">
        <v>293</v>
      </c>
      <c r="B12" t="s">
        <v>294</v>
      </c>
      <c r="C12" t="s">
        <v>295</v>
      </c>
    </row>
    <row r="16" spans="1:3" x14ac:dyDescent="0.35">
      <c r="A16" t="s">
        <v>296</v>
      </c>
      <c r="B16" s="1">
        <v>46176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
  <sheetViews>
    <sheetView showGridLines="0" tabSelected="1" zoomScale="80" zoomScaleNormal="80" workbookViewId="0">
      <selection activeCell="F75" sqref="F75"/>
    </sheetView>
  </sheetViews>
  <sheetFormatPr defaultRowHeight="14.5" x14ac:dyDescent="0.35"/>
  <sheetData>
    <row r="1" spans="1:11" ht="19" thickBot="1" x14ac:dyDescent="0.4">
      <c r="A1" s="72" t="s">
        <v>383</v>
      </c>
      <c r="B1" s="73"/>
      <c r="C1" s="73"/>
      <c r="D1" s="73"/>
      <c r="E1" s="73"/>
      <c r="F1" s="73"/>
      <c r="G1" s="73"/>
      <c r="H1" s="73"/>
      <c r="I1" s="73"/>
      <c r="J1" s="73"/>
      <c r="K1" s="74"/>
    </row>
    <row r="2" spans="1:11" ht="15" thickBot="1" x14ac:dyDescent="0.4"/>
    <row r="3" spans="1:11" ht="15" thickBot="1" x14ac:dyDescent="0.4">
      <c r="A3" s="75" t="s">
        <v>384</v>
      </c>
      <c r="B3" s="76"/>
      <c r="C3" s="76"/>
      <c r="D3" s="76"/>
      <c r="E3" s="76"/>
      <c r="F3" s="76"/>
      <c r="G3" s="76"/>
      <c r="H3" s="76"/>
      <c r="I3" s="76"/>
      <c r="J3" s="76"/>
      <c r="K3" s="77"/>
    </row>
    <row r="4" spans="1:11" x14ac:dyDescent="0.35">
      <c r="A4" s="78" t="s">
        <v>385</v>
      </c>
      <c r="B4" s="79"/>
      <c r="C4" s="79"/>
      <c r="D4" s="79"/>
      <c r="E4" s="79"/>
      <c r="F4" s="79"/>
      <c r="G4" s="79"/>
      <c r="H4" s="79"/>
      <c r="I4" s="79"/>
      <c r="J4" s="79"/>
      <c r="K4" s="80"/>
    </row>
    <row r="5" spans="1:11" x14ac:dyDescent="0.35">
      <c r="A5" s="81"/>
      <c r="B5" s="82"/>
      <c r="C5" s="82"/>
      <c r="D5" s="82"/>
      <c r="E5" s="82"/>
      <c r="F5" s="82"/>
      <c r="G5" s="82"/>
      <c r="H5" s="82"/>
      <c r="I5" s="82"/>
      <c r="J5" s="82"/>
      <c r="K5" s="83"/>
    </row>
    <row r="6" spans="1:11" ht="15" thickBot="1" x14ac:dyDescent="0.4">
      <c r="A6" s="84"/>
      <c r="B6" s="85"/>
      <c r="C6" s="85"/>
      <c r="D6" s="85"/>
      <c r="E6" s="85"/>
      <c r="F6" s="85"/>
      <c r="G6" s="85"/>
      <c r="H6" s="85"/>
      <c r="I6" s="85"/>
      <c r="J6" s="85"/>
      <c r="K6" s="86"/>
    </row>
    <row r="7" spans="1:11" ht="15" thickBot="1" x14ac:dyDescent="0.4"/>
    <row r="8" spans="1:11" ht="15" thickBot="1" x14ac:dyDescent="0.4">
      <c r="A8" s="75" t="s">
        <v>386</v>
      </c>
      <c r="B8" s="76"/>
      <c r="C8" s="76"/>
      <c r="D8" s="76"/>
      <c r="E8" s="76"/>
      <c r="F8" s="76"/>
      <c r="G8" s="76"/>
      <c r="H8" s="76"/>
      <c r="I8" s="76"/>
      <c r="J8" s="76"/>
      <c r="K8" s="77"/>
    </row>
    <row r="9" spans="1:11" ht="19" customHeight="1" x14ac:dyDescent="0.35">
      <c r="A9" s="87" t="s">
        <v>387</v>
      </c>
      <c r="B9" s="88"/>
      <c r="C9" s="88"/>
      <c r="D9" s="88"/>
      <c r="E9" s="88"/>
      <c r="F9" s="88"/>
      <c r="G9" s="88"/>
      <c r="H9" s="88"/>
      <c r="I9" s="88"/>
      <c r="J9" s="88"/>
      <c r="K9" s="89"/>
    </row>
    <row r="10" spans="1:11" x14ac:dyDescent="0.35">
      <c r="A10" s="90"/>
      <c r="B10" s="91"/>
      <c r="C10" s="91"/>
      <c r="D10" s="91"/>
      <c r="E10" s="91"/>
      <c r="F10" s="91"/>
      <c r="G10" s="91"/>
      <c r="H10" s="91"/>
      <c r="I10" s="91"/>
      <c r="J10" s="91"/>
      <c r="K10" s="92"/>
    </row>
    <row r="11" spans="1:11" x14ac:dyDescent="0.35">
      <c r="A11" s="93" t="s">
        <v>388</v>
      </c>
      <c r="B11" s="94"/>
      <c r="C11" s="94"/>
      <c r="D11" s="94"/>
      <c r="E11" s="94"/>
      <c r="F11" s="94"/>
      <c r="G11" s="94"/>
      <c r="H11" s="94"/>
      <c r="I11" s="94"/>
      <c r="J11" s="94"/>
      <c r="K11" s="95"/>
    </row>
    <row r="12" spans="1:11" x14ac:dyDescent="0.35">
      <c r="A12" s="93" t="s">
        <v>389</v>
      </c>
      <c r="B12" s="94"/>
      <c r="C12" s="94"/>
      <c r="D12" s="94"/>
      <c r="E12" s="94"/>
      <c r="F12" s="94"/>
      <c r="G12" s="94"/>
      <c r="H12" s="94"/>
      <c r="I12" s="94"/>
      <c r="J12" s="94"/>
      <c r="K12" s="95"/>
    </row>
    <row r="13" spans="1:11" x14ac:dyDescent="0.35">
      <c r="A13" s="93" t="s">
        <v>390</v>
      </c>
      <c r="B13" s="94"/>
      <c r="C13" s="94"/>
      <c r="D13" s="94"/>
      <c r="E13" s="94"/>
      <c r="F13" s="94"/>
      <c r="G13" s="94"/>
      <c r="H13" s="94"/>
      <c r="I13" s="94"/>
      <c r="J13" s="94"/>
      <c r="K13" s="95"/>
    </row>
    <row r="14" spans="1:11" ht="14.5" customHeight="1" x14ac:dyDescent="0.35">
      <c r="A14" s="93" t="s">
        <v>391</v>
      </c>
      <c r="B14" s="94"/>
      <c r="C14" s="94"/>
      <c r="D14" s="94"/>
      <c r="E14" s="94"/>
      <c r="F14" s="94"/>
      <c r="G14" s="94"/>
      <c r="H14" s="94"/>
      <c r="I14" s="94"/>
      <c r="J14" s="94"/>
      <c r="K14" s="95"/>
    </row>
    <row r="15" spans="1:11" ht="14.5" customHeight="1" x14ac:dyDescent="0.35">
      <c r="A15" s="93" t="s">
        <v>392</v>
      </c>
      <c r="B15" s="94"/>
      <c r="C15" s="94"/>
      <c r="D15" s="94"/>
      <c r="E15" s="94"/>
      <c r="F15" s="94"/>
      <c r="G15" s="94"/>
      <c r="H15" s="94"/>
      <c r="I15" s="94"/>
      <c r="J15" s="94"/>
      <c r="K15" s="95"/>
    </row>
    <row r="16" spans="1:11" x14ac:dyDescent="0.35">
      <c r="A16" s="93" t="s">
        <v>393</v>
      </c>
      <c r="B16" s="94"/>
      <c r="C16" s="94"/>
      <c r="D16" s="94"/>
      <c r="E16" s="94"/>
      <c r="F16" s="94"/>
      <c r="G16" s="94"/>
      <c r="H16" s="94"/>
      <c r="I16" s="94"/>
      <c r="J16" s="94"/>
      <c r="K16" s="95"/>
    </row>
    <row r="17" spans="1:26" x14ac:dyDescent="0.35">
      <c r="A17" s="93" t="s">
        <v>394</v>
      </c>
      <c r="B17" s="94"/>
      <c r="C17" s="94"/>
      <c r="D17" s="94"/>
      <c r="E17" s="94"/>
      <c r="F17" s="94"/>
      <c r="G17" s="94"/>
      <c r="H17" s="94"/>
      <c r="I17" s="94"/>
      <c r="J17" s="94"/>
      <c r="K17" s="95"/>
    </row>
    <row r="18" spans="1:26" ht="15" thickBot="1" x14ac:dyDescent="0.4">
      <c r="A18" s="96" t="s">
        <v>395</v>
      </c>
      <c r="B18" s="97"/>
      <c r="C18" s="97"/>
      <c r="D18" s="97"/>
      <c r="E18" s="97"/>
      <c r="F18" s="97"/>
      <c r="G18" s="97"/>
      <c r="H18" s="97"/>
      <c r="I18" s="97"/>
      <c r="J18" s="97"/>
      <c r="K18" s="98"/>
    </row>
    <row r="19" spans="1:26" ht="15" thickBot="1" x14ac:dyDescent="0.4">
      <c r="A19" s="71"/>
      <c r="B19" s="71"/>
      <c r="C19" s="71"/>
      <c r="D19" s="71"/>
      <c r="E19" s="71"/>
      <c r="F19" s="71"/>
      <c r="G19" s="71"/>
      <c r="H19" s="71"/>
      <c r="I19" s="71"/>
      <c r="J19" s="71"/>
      <c r="K19" s="71"/>
    </row>
    <row r="20" spans="1:26" ht="15" thickBot="1" x14ac:dyDescent="0.4">
      <c r="A20" s="75" t="s">
        <v>330</v>
      </c>
      <c r="B20" s="77"/>
      <c r="C20" s="99" t="s">
        <v>331</v>
      </c>
      <c r="D20" s="75" t="s">
        <v>396</v>
      </c>
      <c r="E20" s="76"/>
      <c r="F20" s="76"/>
      <c r="G20" s="76"/>
      <c r="H20" s="76"/>
      <c r="I20" s="77"/>
    </row>
    <row r="21" spans="1:26" x14ac:dyDescent="0.35">
      <c r="A21" s="37" t="s">
        <v>306</v>
      </c>
      <c r="B21" s="39"/>
      <c r="C21" s="100">
        <v>25</v>
      </c>
      <c r="D21" s="37" t="s">
        <v>397</v>
      </c>
      <c r="E21" s="38"/>
      <c r="F21" s="38"/>
      <c r="G21" s="38"/>
      <c r="H21" s="38"/>
      <c r="I21" s="39"/>
    </row>
    <row r="22" spans="1:26" x14ac:dyDescent="0.35">
      <c r="A22" s="37" t="s">
        <v>86</v>
      </c>
      <c r="B22" s="39"/>
      <c r="C22" s="100">
        <v>7</v>
      </c>
      <c r="D22" s="37" t="s">
        <v>398</v>
      </c>
      <c r="E22" s="38"/>
      <c r="F22" s="38"/>
      <c r="G22" s="38"/>
      <c r="H22" s="38"/>
      <c r="I22" s="39"/>
    </row>
    <row r="23" spans="1:26" x14ac:dyDescent="0.35">
      <c r="A23" s="37" t="s">
        <v>95</v>
      </c>
      <c r="B23" s="39"/>
      <c r="C23" s="100">
        <v>9</v>
      </c>
      <c r="D23" s="37" t="s">
        <v>399</v>
      </c>
      <c r="E23" s="38"/>
      <c r="F23" s="38"/>
      <c r="G23" s="38"/>
      <c r="H23" s="38"/>
      <c r="I23" s="39"/>
    </row>
    <row r="24" spans="1:26" x14ac:dyDescent="0.35">
      <c r="A24" s="37" t="s">
        <v>222</v>
      </c>
      <c r="B24" s="39"/>
      <c r="C24" s="100">
        <v>9</v>
      </c>
      <c r="D24" s="37" t="s">
        <v>400</v>
      </c>
      <c r="E24" s="38"/>
      <c r="F24" s="38"/>
      <c r="G24" s="38"/>
      <c r="H24" s="38"/>
      <c r="I24" s="39"/>
    </row>
    <row r="25" spans="1:26" x14ac:dyDescent="0.35">
      <c r="A25" s="37" t="s">
        <v>380</v>
      </c>
      <c r="B25" s="39"/>
      <c r="C25" s="100">
        <v>18</v>
      </c>
      <c r="D25" s="37" t="s">
        <v>401</v>
      </c>
      <c r="E25" s="38"/>
      <c r="F25" s="38"/>
      <c r="G25" s="38"/>
      <c r="H25" s="38"/>
      <c r="I25" s="39"/>
    </row>
    <row r="26" spans="1:26" x14ac:dyDescent="0.35">
      <c r="A26" s="37" t="s">
        <v>355</v>
      </c>
      <c r="B26" s="39"/>
      <c r="C26" s="100">
        <v>13</v>
      </c>
      <c r="D26" s="37" t="s">
        <v>402</v>
      </c>
      <c r="E26" s="38"/>
      <c r="F26" s="38"/>
      <c r="G26" s="38"/>
      <c r="H26" s="38"/>
      <c r="I26" s="39"/>
    </row>
    <row r="27" spans="1:26" x14ac:dyDescent="0.35">
      <c r="A27" s="37" t="s">
        <v>374</v>
      </c>
      <c r="B27" s="39"/>
      <c r="C27" s="100">
        <v>6</v>
      </c>
      <c r="D27" s="37" t="s">
        <v>403</v>
      </c>
      <c r="E27" s="38"/>
      <c r="F27" s="38"/>
      <c r="G27" s="38"/>
      <c r="H27" s="38"/>
      <c r="I27" s="39"/>
    </row>
    <row r="28" spans="1:26" ht="15" thickBot="1" x14ac:dyDescent="0.4">
      <c r="A28" s="40" t="s">
        <v>372</v>
      </c>
      <c r="B28" s="42"/>
      <c r="C28" s="101">
        <v>4</v>
      </c>
      <c r="D28" s="40" t="s">
        <v>404</v>
      </c>
      <c r="E28" s="41"/>
      <c r="F28" s="41"/>
      <c r="G28" s="41"/>
      <c r="H28" s="41"/>
      <c r="I28" s="42"/>
    </row>
    <row r="29" spans="1:26" ht="15" thickBot="1" x14ac:dyDescent="0.4"/>
    <row r="30" spans="1:26" ht="15" thickBot="1" x14ac:dyDescent="0.4">
      <c r="A30" s="99" t="s">
        <v>405</v>
      </c>
      <c r="B30" s="75" t="s">
        <v>406</v>
      </c>
      <c r="C30" s="76"/>
      <c r="D30" s="76"/>
      <c r="E30" s="76"/>
      <c r="F30" s="76"/>
      <c r="G30" s="76"/>
      <c r="H30" s="76"/>
      <c r="I30" s="77"/>
      <c r="J30" s="75" t="s">
        <v>407</v>
      </c>
      <c r="K30" s="76"/>
      <c r="L30" s="76"/>
      <c r="M30" s="76"/>
      <c r="N30" s="76"/>
      <c r="O30" s="77"/>
      <c r="P30" s="75" t="s">
        <v>408</v>
      </c>
      <c r="Q30" s="76"/>
      <c r="R30" s="76"/>
      <c r="S30" s="76"/>
      <c r="T30" s="76"/>
      <c r="U30" s="76"/>
      <c r="V30" s="76"/>
      <c r="W30" s="76"/>
      <c r="X30" s="76"/>
      <c r="Y30" s="76"/>
      <c r="Z30" s="77"/>
    </row>
    <row r="31" spans="1:26" x14ac:dyDescent="0.35">
      <c r="A31" s="105">
        <v>1</v>
      </c>
      <c r="B31" s="37" t="s">
        <v>409</v>
      </c>
      <c r="C31" s="38"/>
      <c r="D31" s="38"/>
      <c r="E31" s="38"/>
      <c r="F31" s="38"/>
      <c r="G31" s="38"/>
      <c r="H31" s="38"/>
      <c r="I31" s="39"/>
      <c r="J31" s="103" t="s">
        <v>410</v>
      </c>
      <c r="K31" s="102"/>
      <c r="L31" s="102"/>
      <c r="M31" s="102"/>
      <c r="N31" s="102"/>
      <c r="O31" s="104"/>
      <c r="P31" s="103" t="s">
        <v>411</v>
      </c>
      <c r="Q31" s="102"/>
      <c r="R31" s="102"/>
      <c r="S31" s="102"/>
      <c r="T31" s="102"/>
      <c r="U31" s="102"/>
      <c r="V31" s="102"/>
      <c r="W31" s="102"/>
      <c r="X31" s="102"/>
      <c r="Y31" s="102"/>
      <c r="Z31" s="104"/>
    </row>
    <row r="32" spans="1:26" x14ac:dyDescent="0.35">
      <c r="A32" s="105">
        <v>2</v>
      </c>
      <c r="B32" s="37" t="s">
        <v>412</v>
      </c>
      <c r="C32" s="38"/>
      <c r="D32" s="38"/>
      <c r="E32" s="38"/>
      <c r="F32" s="38"/>
      <c r="G32" s="38"/>
      <c r="H32" s="38"/>
      <c r="I32" s="39"/>
      <c r="J32" s="37" t="s">
        <v>413</v>
      </c>
      <c r="K32" s="38"/>
      <c r="L32" s="38"/>
      <c r="M32" s="38"/>
      <c r="N32" s="38"/>
      <c r="O32" s="39"/>
      <c r="P32" s="37" t="s">
        <v>414</v>
      </c>
      <c r="Q32" s="38"/>
      <c r="R32" s="38"/>
      <c r="S32" s="38"/>
      <c r="T32" s="38"/>
      <c r="U32" s="38"/>
      <c r="V32" s="38"/>
      <c r="W32" s="38"/>
      <c r="X32" s="38"/>
      <c r="Y32" s="38"/>
      <c r="Z32" s="39"/>
    </row>
    <row r="33" spans="1:26" x14ac:dyDescent="0.35">
      <c r="A33" s="105">
        <v>3</v>
      </c>
      <c r="B33" s="37" t="s">
        <v>415</v>
      </c>
      <c r="C33" s="38"/>
      <c r="D33" s="38"/>
      <c r="E33" s="38"/>
      <c r="F33" s="38"/>
      <c r="G33" s="38"/>
      <c r="H33" s="38"/>
      <c r="I33" s="39"/>
      <c r="J33" s="37" t="s">
        <v>416</v>
      </c>
      <c r="K33" s="38"/>
      <c r="L33" s="38"/>
      <c r="M33" s="38"/>
      <c r="N33" s="38"/>
      <c r="O33" s="39"/>
      <c r="P33" s="37" t="s">
        <v>417</v>
      </c>
      <c r="Q33" s="38"/>
      <c r="R33" s="38"/>
      <c r="S33" s="38"/>
      <c r="T33" s="38"/>
      <c r="U33" s="38"/>
      <c r="V33" s="38"/>
      <c r="W33" s="38"/>
      <c r="X33" s="38"/>
      <c r="Y33" s="38"/>
      <c r="Z33" s="39"/>
    </row>
    <row r="34" spans="1:26" x14ac:dyDescent="0.35">
      <c r="A34" s="105">
        <v>4</v>
      </c>
      <c r="B34" s="37" t="s">
        <v>418</v>
      </c>
      <c r="C34" s="38"/>
      <c r="D34" s="38"/>
      <c r="E34" s="38"/>
      <c r="F34" s="38"/>
      <c r="G34" s="38"/>
      <c r="H34" s="38"/>
      <c r="I34" s="39"/>
      <c r="J34" s="37" t="s">
        <v>419</v>
      </c>
      <c r="K34" s="38"/>
      <c r="L34" s="38"/>
      <c r="M34" s="38"/>
      <c r="N34" s="38"/>
      <c r="O34" s="39"/>
      <c r="P34" s="37" t="s">
        <v>420</v>
      </c>
      <c r="Q34" s="38"/>
      <c r="R34" s="38"/>
      <c r="S34" s="38"/>
      <c r="T34" s="38"/>
      <c r="U34" s="38"/>
      <c r="V34" s="38"/>
      <c r="W34" s="38"/>
      <c r="X34" s="38"/>
      <c r="Y34" s="38"/>
      <c r="Z34" s="39"/>
    </row>
    <row r="35" spans="1:26" ht="15" thickBot="1" x14ac:dyDescent="0.4">
      <c r="A35" s="106">
        <v>5</v>
      </c>
      <c r="B35" s="40" t="s">
        <v>421</v>
      </c>
      <c r="C35" s="41"/>
      <c r="D35" s="41"/>
      <c r="E35" s="41"/>
      <c r="F35" s="41"/>
      <c r="G35" s="41"/>
      <c r="H35" s="41"/>
      <c r="I35" s="42"/>
      <c r="J35" s="40" t="s">
        <v>422</v>
      </c>
      <c r="K35" s="41"/>
      <c r="L35" s="41"/>
      <c r="M35" s="41"/>
      <c r="N35" s="41"/>
      <c r="O35" s="42"/>
      <c r="P35" s="40" t="s">
        <v>423</v>
      </c>
      <c r="Q35" s="41"/>
      <c r="R35" s="41"/>
      <c r="S35" s="41"/>
      <c r="T35" s="41"/>
      <c r="U35" s="41"/>
      <c r="V35" s="41"/>
      <c r="W35" s="41"/>
      <c r="X35" s="41"/>
      <c r="Y35" s="41"/>
      <c r="Z35" s="42"/>
    </row>
    <row r="36" spans="1:26" ht="15" thickBot="1" x14ac:dyDescent="0.4"/>
    <row r="37" spans="1:26" ht="15" thickBot="1" x14ac:dyDescent="0.4">
      <c r="A37" s="99" t="s">
        <v>405</v>
      </c>
      <c r="B37" s="75" t="s">
        <v>424</v>
      </c>
      <c r="C37" s="76"/>
      <c r="D37" s="76"/>
      <c r="E37" s="76"/>
      <c r="F37" s="76"/>
      <c r="G37" s="76"/>
      <c r="H37" s="76"/>
      <c r="I37" s="76"/>
      <c r="J37" s="77"/>
      <c r="K37" s="75" t="s">
        <v>425</v>
      </c>
      <c r="L37" s="76"/>
      <c r="M37" s="76"/>
      <c r="N37" s="76"/>
      <c r="O37" s="76"/>
      <c r="P37" s="76"/>
      <c r="Q37" s="76"/>
      <c r="R37" s="77"/>
    </row>
    <row r="38" spans="1:26" x14ac:dyDescent="0.35">
      <c r="A38" s="105">
        <v>1</v>
      </c>
      <c r="B38" s="103" t="s">
        <v>426</v>
      </c>
      <c r="C38" s="102"/>
      <c r="D38" s="102"/>
      <c r="E38" s="102"/>
      <c r="F38" s="102"/>
      <c r="G38" s="102"/>
      <c r="H38" s="102"/>
      <c r="I38" s="102"/>
      <c r="J38" s="104"/>
      <c r="K38" s="103" t="s">
        <v>427</v>
      </c>
      <c r="L38" s="102"/>
      <c r="M38" s="102"/>
      <c r="N38" s="102"/>
      <c r="O38" s="102"/>
      <c r="P38" s="102"/>
      <c r="Q38" s="102"/>
      <c r="R38" s="104"/>
    </row>
    <row r="39" spans="1:26" x14ac:dyDescent="0.35">
      <c r="A39" s="105">
        <v>2</v>
      </c>
      <c r="B39" s="37" t="s">
        <v>428</v>
      </c>
      <c r="C39" s="38"/>
      <c r="D39" s="38"/>
      <c r="E39" s="38"/>
      <c r="F39" s="38"/>
      <c r="G39" s="38"/>
      <c r="H39" s="38"/>
      <c r="I39" s="38"/>
      <c r="J39" s="39"/>
      <c r="K39" s="37" t="s">
        <v>429</v>
      </c>
      <c r="L39" s="38"/>
      <c r="M39" s="38"/>
      <c r="N39" s="38"/>
      <c r="O39" s="38"/>
      <c r="P39" s="38"/>
      <c r="Q39" s="38"/>
      <c r="R39" s="39"/>
    </row>
    <row r="40" spans="1:26" x14ac:dyDescent="0.35">
      <c r="A40" s="105">
        <v>3</v>
      </c>
      <c r="B40" s="37" t="s">
        <v>430</v>
      </c>
      <c r="C40" s="38"/>
      <c r="D40" s="38"/>
      <c r="E40" s="38"/>
      <c r="F40" s="38"/>
      <c r="G40" s="38"/>
      <c r="H40" s="38"/>
      <c r="I40" s="38"/>
      <c r="J40" s="39"/>
      <c r="K40" s="37" t="s">
        <v>431</v>
      </c>
      <c r="L40" s="38"/>
      <c r="M40" s="38"/>
      <c r="N40" s="38"/>
      <c r="O40" s="38"/>
      <c r="P40" s="38"/>
      <c r="Q40" s="38"/>
      <c r="R40" s="39"/>
    </row>
    <row r="41" spans="1:26" x14ac:dyDescent="0.35">
      <c r="A41" s="105">
        <v>4</v>
      </c>
      <c r="B41" s="37" t="s">
        <v>432</v>
      </c>
      <c r="C41" s="38"/>
      <c r="D41" s="38"/>
      <c r="E41" s="38"/>
      <c r="F41" s="38"/>
      <c r="G41" s="38"/>
      <c r="H41" s="38"/>
      <c r="I41" s="38"/>
      <c r="J41" s="39"/>
      <c r="K41" s="37" t="s">
        <v>433</v>
      </c>
      <c r="L41" s="38"/>
      <c r="M41" s="38"/>
      <c r="N41" s="38"/>
      <c r="O41" s="38"/>
      <c r="P41" s="38"/>
      <c r="Q41" s="38"/>
      <c r="R41" s="39"/>
    </row>
    <row r="42" spans="1:26" x14ac:dyDescent="0.35">
      <c r="A42" s="105">
        <v>5</v>
      </c>
      <c r="B42" s="37" t="s">
        <v>434</v>
      </c>
      <c r="C42" s="38"/>
      <c r="D42" s="38"/>
      <c r="E42" s="38"/>
      <c r="F42" s="38"/>
      <c r="G42" s="38"/>
      <c r="H42" s="38"/>
      <c r="I42" s="38"/>
      <c r="J42" s="39"/>
      <c r="K42" s="37" t="s">
        <v>435</v>
      </c>
      <c r="L42" s="38"/>
      <c r="M42" s="38"/>
      <c r="N42" s="38"/>
      <c r="O42" s="38"/>
      <c r="P42" s="38"/>
      <c r="Q42" s="38"/>
      <c r="R42" s="39"/>
    </row>
    <row r="43" spans="1:26" ht="15" thickBot="1" x14ac:dyDescent="0.4">
      <c r="A43" s="106">
        <v>6</v>
      </c>
      <c r="B43" s="40" t="s">
        <v>436</v>
      </c>
      <c r="C43" s="41"/>
      <c r="D43" s="41"/>
      <c r="E43" s="41"/>
      <c r="F43" s="41"/>
      <c r="G43" s="41"/>
      <c r="H43" s="41"/>
      <c r="I43" s="41"/>
      <c r="J43" s="42"/>
      <c r="K43" s="40" t="s">
        <v>437</v>
      </c>
      <c r="L43" s="41"/>
      <c r="M43" s="41"/>
      <c r="N43" s="41"/>
      <c r="O43" s="41"/>
      <c r="P43" s="41"/>
      <c r="Q43" s="41"/>
      <c r="R43" s="42"/>
    </row>
    <row r="44" spans="1:26" ht="15" thickBot="1" x14ac:dyDescent="0.4"/>
    <row r="45" spans="1:26" ht="15" thickBot="1" x14ac:dyDescent="0.4">
      <c r="A45" s="75" t="s">
        <v>438</v>
      </c>
      <c r="B45" s="76"/>
      <c r="C45" s="76"/>
      <c r="D45" s="76"/>
      <c r="E45" s="76"/>
      <c r="F45" s="76"/>
      <c r="G45" s="76"/>
      <c r="H45" s="76"/>
      <c r="I45" s="76"/>
      <c r="J45" s="76"/>
      <c r="K45" s="77"/>
    </row>
    <row r="46" spans="1:26" x14ac:dyDescent="0.35">
      <c r="A46" s="103" t="s">
        <v>439</v>
      </c>
      <c r="B46" s="102"/>
      <c r="C46" s="102"/>
      <c r="D46" s="102"/>
      <c r="E46" s="102"/>
      <c r="F46" s="102"/>
      <c r="G46" s="102"/>
      <c r="H46" s="102"/>
      <c r="I46" s="102"/>
      <c r="J46" s="102"/>
      <c r="K46" s="104"/>
    </row>
    <row r="47" spans="1:26" x14ac:dyDescent="0.35">
      <c r="A47" s="37" t="s">
        <v>440</v>
      </c>
      <c r="B47" s="38"/>
      <c r="C47" s="38"/>
      <c r="D47" s="38"/>
      <c r="E47" s="38"/>
      <c r="F47" s="38"/>
      <c r="G47" s="38"/>
      <c r="H47" s="38"/>
      <c r="I47" s="38"/>
      <c r="J47" s="38"/>
      <c r="K47" s="39"/>
    </row>
    <row r="48" spans="1:26" x14ac:dyDescent="0.35">
      <c r="A48" s="37" t="s">
        <v>441</v>
      </c>
      <c r="B48" s="38"/>
      <c r="C48" s="38"/>
      <c r="D48" s="38"/>
      <c r="E48" s="38"/>
      <c r="F48" s="38"/>
      <c r="G48" s="38"/>
      <c r="H48" s="38"/>
      <c r="I48" s="38"/>
      <c r="J48" s="38"/>
      <c r="K48" s="39"/>
    </row>
    <row r="49" spans="1:15" x14ac:dyDescent="0.35">
      <c r="A49" s="37" t="s">
        <v>442</v>
      </c>
      <c r="B49" s="38"/>
      <c r="C49" s="38"/>
      <c r="D49" s="38"/>
      <c r="E49" s="38"/>
      <c r="F49" s="38"/>
      <c r="G49" s="38"/>
      <c r="H49" s="38"/>
      <c r="I49" s="38"/>
      <c r="J49" s="38"/>
      <c r="K49" s="39"/>
    </row>
    <row r="50" spans="1:15" x14ac:dyDescent="0.35">
      <c r="A50" s="37" t="s">
        <v>443</v>
      </c>
      <c r="B50" s="38"/>
      <c r="C50" s="38"/>
      <c r="D50" s="38"/>
      <c r="E50" s="38"/>
      <c r="F50" s="38"/>
      <c r="G50" s="38"/>
      <c r="H50" s="38"/>
      <c r="I50" s="38"/>
      <c r="J50" s="38"/>
      <c r="K50" s="39"/>
    </row>
    <row r="51" spans="1:15" x14ac:dyDescent="0.35">
      <c r="A51" s="37" t="s">
        <v>444</v>
      </c>
      <c r="B51" s="38"/>
      <c r="C51" s="38"/>
      <c r="D51" s="38"/>
      <c r="E51" s="38"/>
      <c r="F51" s="38"/>
      <c r="G51" s="38"/>
      <c r="H51" s="38"/>
      <c r="I51" s="38"/>
      <c r="J51" s="38"/>
      <c r="K51" s="39"/>
    </row>
    <row r="52" spans="1:15" ht="15" thickBot="1" x14ac:dyDescent="0.4">
      <c r="A52" s="40" t="s">
        <v>445</v>
      </c>
      <c r="B52" s="41"/>
      <c r="C52" s="41"/>
      <c r="D52" s="41"/>
      <c r="E52" s="41"/>
      <c r="F52" s="41"/>
      <c r="G52" s="41"/>
      <c r="H52" s="41"/>
      <c r="I52" s="41"/>
      <c r="J52" s="41"/>
      <c r="K52" s="42"/>
    </row>
    <row r="53" spans="1:15" ht="15" thickBot="1" x14ac:dyDescent="0.4"/>
    <row r="54" spans="1:15" ht="15" thickBot="1" x14ac:dyDescent="0.4">
      <c r="A54" s="75" t="s">
        <v>446</v>
      </c>
      <c r="B54" s="76"/>
      <c r="C54" s="76"/>
      <c r="D54" s="76"/>
      <c r="E54" s="76"/>
      <c r="F54" s="76"/>
      <c r="G54" s="76"/>
      <c r="H54" s="76"/>
      <c r="I54" s="76"/>
      <c r="J54" s="76"/>
      <c r="K54" s="76"/>
      <c r="L54" s="76"/>
      <c r="M54" s="76"/>
      <c r="N54" s="76"/>
      <c r="O54" s="77"/>
    </row>
    <row r="55" spans="1:15" x14ac:dyDescent="0.35">
      <c r="A55" s="108" t="s">
        <v>447</v>
      </c>
      <c r="B55" s="107"/>
      <c r="C55" s="107"/>
      <c r="D55" s="107"/>
      <c r="E55" s="107"/>
      <c r="F55" s="107"/>
      <c r="G55" s="107"/>
      <c r="H55" s="107"/>
      <c r="I55" s="107"/>
      <c r="J55" s="107"/>
      <c r="K55" s="107"/>
      <c r="L55" s="107"/>
      <c r="M55" s="107"/>
      <c r="N55" s="107"/>
      <c r="O55" s="109"/>
    </row>
    <row r="56" spans="1:15" x14ac:dyDescent="0.35">
      <c r="A56" s="108"/>
      <c r="B56" s="107"/>
      <c r="C56" s="107"/>
      <c r="D56" s="107"/>
      <c r="E56" s="107"/>
      <c r="F56" s="107"/>
      <c r="G56" s="107"/>
      <c r="H56" s="107"/>
      <c r="I56" s="107"/>
      <c r="J56" s="107"/>
      <c r="K56" s="107"/>
      <c r="L56" s="107"/>
      <c r="M56" s="107"/>
      <c r="N56" s="107"/>
      <c r="O56" s="109"/>
    </row>
    <row r="57" spans="1:15" x14ac:dyDescent="0.35">
      <c r="A57" s="108"/>
      <c r="B57" s="107"/>
      <c r="C57" s="107"/>
      <c r="D57" s="107"/>
      <c r="E57" s="107"/>
      <c r="F57" s="107"/>
      <c r="G57" s="107"/>
      <c r="H57" s="107"/>
      <c r="I57" s="107"/>
      <c r="J57" s="107"/>
      <c r="K57" s="107"/>
      <c r="L57" s="107"/>
      <c r="M57" s="107"/>
      <c r="N57" s="107"/>
      <c r="O57" s="109"/>
    </row>
    <row r="58" spans="1:15" x14ac:dyDescent="0.35">
      <c r="A58" s="108"/>
      <c r="B58" s="107"/>
      <c r="C58" s="107"/>
      <c r="D58" s="107"/>
      <c r="E58" s="107"/>
      <c r="F58" s="107"/>
      <c r="G58" s="107"/>
      <c r="H58" s="107"/>
      <c r="I58" s="107"/>
      <c r="J58" s="107"/>
      <c r="K58" s="107"/>
      <c r="L58" s="107"/>
      <c r="M58" s="107"/>
      <c r="N58" s="107"/>
      <c r="O58" s="109"/>
    </row>
    <row r="59" spans="1:15" x14ac:dyDescent="0.35">
      <c r="A59" s="108"/>
      <c r="B59" s="107"/>
      <c r="C59" s="107"/>
      <c r="D59" s="107"/>
      <c r="E59" s="107"/>
      <c r="F59" s="107"/>
      <c r="G59" s="107"/>
      <c r="H59" s="107"/>
      <c r="I59" s="107"/>
      <c r="J59" s="107"/>
      <c r="K59" s="107"/>
      <c r="L59" s="107"/>
      <c r="M59" s="107"/>
      <c r="N59" s="107"/>
      <c r="O59" s="109"/>
    </row>
    <row r="60" spans="1:15" x14ac:dyDescent="0.35">
      <c r="A60" s="108"/>
      <c r="B60" s="107"/>
      <c r="C60" s="107"/>
      <c r="D60" s="107"/>
      <c r="E60" s="107"/>
      <c r="F60" s="107"/>
      <c r="G60" s="107"/>
      <c r="H60" s="107"/>
      <c r="I60" s="107"/>
      <c r="J60" s="107"/>
      <c r="K60" s="107"/>
      <c r="L60" s="107"/>
      <c r="M60" s="107"/>
      <c r="N60" s="107"/>
      <c r="O60" s="109"/>
    </row>
    <row r="61" spans="1:15" x14ac:dyDescent="0.35">
      <c r="A61" s="108"/>
      <c r="B61" s="107"/>
      <c r="C61" s="107"/>
      <c r="D61" s="107"/>
      <c r="E61" s="107"/>
      <c r="F61" s="107"/>
      <c r="G61" s="107"/>
      <c r="H61" s="107"/>
      <c r="I61" s="107"/>
      <c r="J61" s="107"/>
      <c r="K61" s="107"/>
      <c r="L61" s="107"/>
      <c r="M61" s="107"/>
      <c r="N61" s="107"/>
      <c r="O61" s="109"/>
    </row>
    <row r="62" spans="1:15" x14ac:dyDescent="0.35">
      <c r="A62" s="108"/>
      <c r="B62" s="107"/>
      <c r="C62" s="107"/>
      <c r="D62" s="107"/>
      <c r="E62" s="107"/>
      <c r="F62" s="107"/>
      <c r="G62" s="107"/>
      <c r="H62" s="107"/>
      <c r="I62" s="107"/>
      <c r="J62" s="107"/>
      <c r="K62" s="107"/>
      <c r="L62" s="107"/>
      <c r="M62" s="107"/>
      <c r="N62" s="107"/>
      <c r="O62" s="109"/>
    </row>
    <row r="63" spans="1:15" x14ac:dyDescent="0.35">
      <c r="A63" s="108"/>
      <c r="B63" s="107"/>
      <c r="C63" s="107"/>
      <c r="D63" s="107"/>
      <c r="E63" s="107"/>
      <c r="F63" s="107"/>
      <c r="G63" s="107"/>
      <c r="H63" s="107"/>
      <c r="I63" s="107"/>
      <c r="J63" s="107"/>
      <c r="K63" s="107"/>
      <c r="L63" s="107"/>
      <c r="M63" s="107"/>
      <c r="N63" s="107"/>
      <c r="O63" s="109"/>
    </row>
    <row r="64" spans="1:15" x14ac:dyDescent="0.35">
      <c r="A64" s="108"/>
      <c r="B64" s="107"/>
      <c r="C64" s="107"/>
      <c r="D64" s="107"/>
      <c r="E64" s="107"/>
      <c r="F64" s="107"/>
      <c r="G64" s="107"/>
      <c r="H64" s="107"/>
      <c r="I64" s="107"/>
      <c r="J64" s="107"/>
      <c r="K64" s="107"/>
      <c r="L64" s="107"/>
      <c r="M64" s="107"/>
      <c r="N64" s="107"/>
      <c r="O64" s="109"/>
    </row>
    <row r="65" spans="1:21" ht="15" thickBot="1" x14ac:dyDescent="0.4">
      <c r="A65" s="110"/>
      <c r="B65" s="111"/>
      <c r="C65" s="111"/>
      <c r="D65" s="111"/>
      <c r="E65" s="111"/>
      <c r="F65" s="111"/>
      <c r="G65" s="111"/>
      <c r="H65" s="111"/>
      <c r="I65" s="111"/>
      <c r="J65" s="111"/>
      <c r="K65" s="111"/>
      <c r="L65" s="111"/>
      <c r="M65" s="111"/>
      <c r="N65" s="111"/>
      <c r="O65" s="112"/>
    </row>
    <row r="66" spans="1:21" ht="15" thickBot="1" x14ac:dyDescent="0.4"/>
    <row r="67" spans="1:21" ht="15" thickBot="1" x14ac:dyDescent="0.4">
      <c r="A67" s="75" t="s">
        <v>448</v>
      </c>
      <c r="B67" s="76"/>
      <c r="C67" s="76"/>
      <c r="D67" s="76"/>
      <c r="E67" s="76"/>
      <c r="F67" s="76"/>
      <c r="G67" s="76"/>
      <c r="H67" s="76"/>
      <c r="I67" s="76"/>
      <c r="J67" s="76"/>
      <c r="K67" s="76"/>
      <c r="L67" s="76"/>
      <c r="M67" s="76"/>
      <c r="N67" s="76"/>
      <c r="O67" s="76"/>
      <c r="P67" s="76"/>
      <c r="Q67" s="76"/>
      <c r="R67" s="76"/>
      <c r="S67" s="76"/>
      <c r="T67" s="76"/>
      <c r="U67" s="77"/>
    </row>
    <row r="68" spans="1:21" x14ac:dyDescent="0.35">
      <c r="A68" s="37" t="s">
        <v>449</v>
      </c>
      <c r="B68" s="38"/>
      <c r="C68" s="38"/>
      <c r="D68" s="38"/>
      <c r="E68" s="38"/>
      <c r="F68" s="38"/>
      <c r="G68" s="38"/>
      <c r="H68" s="38"/>
      <c r="I68" s="38"/>
      <c r="J68" s="38"/>
      <c r="K68" s="38"/>
      <c r="L68" s="38"/>
      <c r="M68" s="38"/>
      <c r="N68" s="38"/>
      <c r="O68" s="38"/>
      <c r="P68" s="38"/>
      <c r="Q68" s="38"/>
      <c r="R68" s="38"/>
      <c r="S68" s="38"/>
      <c r="T68" s="38"/>
      <c r="U68" s="39"/>
    </row>
    <row r="69" spans="1:21" ht="15" thickBot="1" x14ac:dyDescent="0.4">
      <c r="A69" s="113" t="s">
        <v>450</v>
      </c>
      <c r="B69" s="114"/>
      <c r="C69" s="114"/>
      <c r="D69" s="114"/>
      <c r="E69" s="114"/>
      <c r="F69" s="114"/>
      <c r="G69" s="114"/>
      <c r="H69" s="114"/>
      <c r="I69" s="114"/>
      <c r="J69" s="114"/>
      <c r="K69" s="114"/>
      <c r="L69" s="114"/>
      <c r="M69" s="114"/>
      <c r="N69" s="114"/>
      <c r="O69" s="114"/>
      <c r="P69" s="114"/>
      <c r="Q69" s="114"/>
      <c r="R69" s="114"/>
      <c r="S69" s="114"/>
      <c r="T69" s="114"/>
      <c r="U69" s="115"/>
    </row>
  </sheetData>
  <mergeCells count="77">
    <mergeCell ref="A67:U67"/>
    <mergeCell ref="A68:U68"/>
    <mergeCell ref="A69:U69"/>
    <mergeCell ref="A51:K51"/>
    <mergeCell ref="A52:K52"/>
    <mergeCell ref="A55:O65"/>
    <mergeCell ref="A54:O54"/>
    <mergeCell ref="A45:K45"/>
    <mergeCell ref="A46:K46"/>
    <mergeCell ref="A47:K47"/>
    <mergeCell ref="A48:K48"/>
    <mergeCell ref="A49:K49"/>
    <mergeCell ref="A50:K50"/>
    <mergeCell ref="B43:J43"/>
    <mergeCell ref="K37:R37"/>
    <mergeCell ref="K38:R38"/>
    <mergeCell ref="K39:R39"/>
    <mergeCell ref="K40:R40"/>
    <mergeCell ref="K41:R41"/>
    <mergeCell ref="K42:R42"/>
    <mergeCell ref="K43:R43"/>
    <mergeCell ref="B37:J37"/>
    <mergeCell ref="B38:J38"/>
    <mergeCell ref="B39:J39"/>
    <mergeCell ref="B40:J40"/>
    <mergeCell ref="B41:J41"/>
    <mergeCell ref="B42:J42"/>
    <mergeCell ref="P30:Z30"/>
    <mergeCell ref="P31:Z31"/>
    <mergeCell ref="P32:Z32"/>
    <mergeCell ref="P33:Z33"/>
    <mergeCell ref="P34:Z34"/>
    <mergeCell ref="P35:Z35"/>
    <mergeCell ref="J30:O30"/>
    <mergeCell ref="J31:O31"/>
    <mergeCell ref="J32:O32"/>
    <mergeCell ref="J33:O33"/>
    <mergeCell ref="J34:O34"/>
    <mergeCell ref="J35:O35"/>
    <mergeCell ref="B30:I30"/>
    <mergeCell ref="B31:I31"/>
    <mergeCell ref="B32:I32"/>
    <mergeCell ref="B33:I33"/>
    <mergeCell ref="B34:I34"/>
    <mergeCell ref="B35:I35"/>
    <mergeCell ref="A28:B28"/>
    <mergeCell ref="D20:I20"/>
    <mergeCell ref="D21:I21"/>
    <mergeCell ref="D22:I22"/>
    <mergeCell ref="D23:I23"/>
    <mergeCell ref="D24:I24"/>
    <mergeCell ref="D25:I25"/>
    <mergeCell ref="D26:I26"/>
    <mergeCell ref="D27:I27"/>
    <mergeCell ref="D28:I28"/>
    <mergeCell ref="A22:B22"/>
    <mergeCell ref="A23:B23"/>
    <mergeCell ref="A24:B24"/>
    <mergeCell ref="A25:B25"/>
    <mergeCell ref="A26:B26"/>
    <mergeCell ref="A27:B27"/>
    <mergeCell ref="A15:K15"/>
    <mergeCell ref="A16:K16"/>
    <mergeCell ref="A17:K17"/>
    <mergeCell ref="A18:K18"/>
    <mergeCell ref="A20:B20"/>
    <mergeCell ref="A21:B21"/>
    <mergeCell ref="A11:K11"/>
    <mergeCell ref="A9:K9"/>
    <mergeCell ref="A10:K10"/>
    <mergeCell ref="A12:K12"/>
    <mergeCell ref="A13:K13"/>
    <mergeCell ref="A14:K14"/>
    <mergeCell ref="A1:K1"/>
    <mergeCell ref="A3:K3"/>
    <mergeCell ref="A4:K6"/>
    <mergeCell ref="A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raw_enrollment_data</vt:lpstr>
      <vt:lpstr>working_clean_data</vt:lpstr>
      <vt:lpstr>data_quality_checks</vt:lpstr>
      <vt:lpstr>summary_metrics</vt:lpstr>
      <vt:lpstr>pivot_analysis</vt:lpstr>
      <vt:lpstr>dashboard</vt:lpstr>
      <vt:lpstr>KPI Definitions</vt:lpstr>
      <vt:lpstr>insights_notes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2026-06-05T15:20:37Z</dcterms:modified>
</cp:coreProperties>
</file>